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sures_f6du49l\Downloads\"/>
    </mc:Choice>
  </mc:AlternateContent>
  <xr:revisionPtr revIDLastSave="0" documentId="8_{33E0E619-838E-4905-9BBA-7A539FBA9A57}" xr6:coauthVersionLast="47" xr6:coauthVersionMax="47" xr10:uidLastSave="{00000000-0000-0000-0000-000000000000}"/>
  <bookViews>
    <workbookView xWindow="-108" yWindow="-108" windowWidth="23256" windowHeight="12456" activeTab="3" xr2:uid="{00000000-000D-0000-FFFF-FFFF00000000}"/>
  </bookViews>
  <sheets>
    <sheet name="Bike_Purchase_Data" sheetId="1" r:id="rId1"/>
    <sheet name="Data" sheetId="2" r:id="rId2"/>
    <sheet name="Pivot Table" sheetId="8" r:id="rId3"/>
    <sheet name="Dashboard" sheetId="10" r:id="rId4"/>
  </sheets>
  <definedNames>
    <definedName name="_xlnm._FilterDatabase" localSheetId="1" hidden="1">Data!$A$1:$M$501</definedName>
    <definedName name="Slicer_Age">#N/A</definedName>
    <definedName name="Slicer_Education">#N/A</definedName>
    <definedName name="Slicer_Marital_Status">#N/A</definedName>
    <definedName name="Slicer_Region">#N/A</definedName>
  </definedNames>
  <calcPr calcId="191029"/>
  <pivotCaches>
    <pivotCache cacheId="25"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2" i="2" l="1"/>
  <c r="L3" i="2"/>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alcChain>
</file>

<file path=xl/sharedStrings.xml><?xml version="1.0" encoding="utf-8"?>
<sst xmlns="http://schemas.openxmlformats.org/spreadsheetml/2006/main" count="8569" uniqueCount="54">
  <si>
    <t>Id</t>
  </si>
  <si>
    <t>Marital Status</t>
  </si>
  <si>
    <t>Income</t>
  </si>
  <si>
    <t>Education</t>
  </si>
  <si>
    <t>Occupation</t>
  </si>
  <si>
    <t>Home Owner</t>
  </si>
  <si>
    <t>Cars</t>
  </si>
  <si>
    <t>Commute Distance</t>
  </si>
  <si>
    <t>Region</t>
  </si>
  <si>
    <t>Age</t>
  </si>
  <si>
    <t>Age Bracket</t>
  </si>
  <si>
    <t>Purchased Bike</t>
  </si>
  <si>
    <t>Single</t>
  </si>
  <si>
    <t>Graduate</t>
  </si>
  <si>
    <t>Management</t>
  </si>
  <si>
    <t>No</t>
  </si>
  <si>
    <t>0-1 Miles</t>
  </si>
  <si>
    <t>North</t>
  </si>
  <si>
    <t>31-40</t>
  </si>
  <si>
    <t>Married</t>
  </si>
  <si>
    <t>Postgraduate</t>
  </si>
  <si>
    <t>Clerical</t>
  </si>
  <si>
    <t>Yes</t>
  </si>
  <si>
    <t>5-10 Miles</t>
  </si>
  <si>
    <t>East</t>
  </si>
  <si>
    <t>Under 20</t>
  </si>
  <si>
    <t>Undergraduate</t>
  </si>
  <si>
    <t>10+ Miles</t>
  </si>
  <si>
    <t>West</t>
  </si>
  <si>
    <t>50+</t>
  </si>
  <si>
    <t>41-50</t>
  </si>
  <si>
    <t>High School</t>
  </si>
  <si>
    <t>Skilled Manual</t>
  </si>
  <si>
    <t>2-5 Miles</t>
  </si>
  <si>
    <t>South</t>
  </si>
  <si>
    <t>Professional</t>
  </si>
  <si>
    <t>Manual</t>
  </si>
  <si>
    <t>1-2 Miles</t>
  </si>
  <si>
    <t>21-30</t>
  </si>
  <si>
    <t>Gender</t>
  </si>
  <si>
    <t>Female</t>
  </si>
  <si>
    <t>Male</t>
  </si>
  <si>
    <t>Female+B44:B99</t>
  </si>
  <si>
    <t>male</t>
  </si>
  <si>
    <t>Row Labels</t>
  </si>
  <si>
    <t>Grand Total</t>
  </si>
  <si>
    <t>Average of Id</t>
  </si>
  <si>
    <t>Column Labels</t>
  </si>
  <si>
    <t>Count of Purchased Bike</t>
  </si>
  <si>
    <t>Adolescent</t>
  </si>
  <si>
    <t>Invalid</t>
  </si>
  <si>
    <t>Middle Age</t>
  </si>
  <si>
    <t>Old</t>
  </si>
  <si>
    <t>Bike Sale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</si>
</sst>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 #,##0.00_ ;_ * \-#,##0.00_ ;_ * &quot;-&quot;??_ ;_ @_ "/>
    <numFmt numFmtId="164" formatCode="_-[$$-409]* #,##0.00_ ;_-[$$-409]* \-#,##0.00\ ;_-[$$-409]* &quot;-&quot;??_ ;_-@_ "/>
  </numFmts>
  <fonts count="4" x14ac:knownFonts="1">
    <font>
      <sz val="11"/>
      <color theme="1"/>
      <name val="Calibri"/>
      <family val="2"/>
      <scheme val="minor"/>
    </font>
    <font>
      <sz val="8"/>
      <name val="Calibri"/>
      <family val="2"/>
      <scheme val="minor"/>
    </font>
    <font>
      <b/>
      <sz val="11"/>
      <color theme="1"/>
      <name val="Calibri"/>
      <family val="2"/>
      <scheme val="minor"/>
    </font>
    <font>
      <b/>
      <sz val="28"/>
      <color theme="0"/>
      <name val="Calibri"/>
      <family val="2"/>
      <scheme val="minor"/>
    </font>
  </fonts>
  <fills count="5">
    <fill>
      <patternFill patternType="none"/>
    </fill>
    <fill>
      <patternFill patternType="gray125"/>
    </fill>
    <fill>
      <patternFill patternType="solid">
        <fgColor theme="6" tint="0.59999389629810485"/>
        <bgColor indexed="64"/>
      </patternFill>
    </fill>
    <fill>
      <patternFill patternType="solid">
        <fgColor theme="0"/>
        <bgColor indexed="64"/>
      </patternFill>
    </fill>
    <fill>
      <patternFill patternType="solid">
        <fgColor theme="7"/>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7">
    <xf numFmtId="0" fontId="0" fillId="0" borderId="0" xfId="0"/>
    <xf numFmtId="0" fontId="0" fillId="0" borderId="0" xfId="0" applyAlignment="1">
      <alignment horizontal="center"/>
    </xf>
    <xf numFmtId="0" fontId="0" fillId="3" borderId="0" xfId="0" applyFill="1" applyAlignment="1">
      <alignment horizontal="center"/>
    </xf>
    <xf numFmtId="0" fontId="0" fillId="2" borderId="1" xfId="0" applyFill="1" applyBorder="1" applyAlignment="1">
      <alignment horizontal="center"/>
    </xf>
    <xf numFmtId="0" fontId="0" fillId="0" borderId="1" xfId="0" applyBorder="1" applyAlignment="1">
      <alignment horizontal="center"/>
    </xf>
    <xf numFmtId="0" fontId="0" fillId="0" borderId="0" xfId="0" applyNumberFormat="1"/>
    <xf numFmtId="164" fontId="0" fillId="0" borderId="1" xfId="0" applyNumberFormat="1" applyBorder="1" applyAlignment="1">
      <alignment horizontal="center"/>
    </xf>
    <xf numFmtId="0" fontId="0" fillId="2" borderId="1" xfId="0" applyNumberFormat="1" applyFill="1" applyBorder="1" applyAlignment="1">
      <alignment horizontal="center"/>
    </xf>
    <xf numFmtId="0" fontId="0" fillId="0" borderId="0" xfId="0" pivotButton="1"/>
    <xf numFmtId="0" fontId="0" fillId="0" borderId="0" xfId="0" applyAlignment="1">
      <alignment horizontal="left"/>
    </xf>
    <xf numFmtId="0" fontId="0" fillId="0" borderId="1" xfId="0" pivotButton="1" applyBorder="1"/>
    <xf numFmtId="0" fontId="0" fillId="0" borderId="1" xfId="0" applyBorder="1" applyAlignment="1">
      <alignment horizontal="left"/>
    </xf>
    <xf numFmtId="43" fontId="0" fillId="0" borderId="1" xfId="0" applyNumberFormat="1" applyBorder="1"/>
    <xf numFmtId="43" fontId="0" fillId="0" borderId="1" xfId="0" pivotButton="1" applyNumberFormat="1" applyBorder="1"/>
    <xf numFmtId="0" fontId="0" fillId="0" borderId="0" xfId="0" applyAlignment="1">
      <alignment horizontal="left" indent="1"/>
    </xf>
    <xf numFmtId="0" fontId="3" fillId="4" borderId="0" xfId="0" applyFont="1" applyFill="1" applyAlignment="1">
      <alignment horizontal="center"/>
    </xf>
    <xf numFmtId="0" fontId="2" fillId="4" borderId="0" xfId="0" applyFont="1" applyFill="1" applyAlignment="1">
      <alignment horizontal="center"/>
    </xf>
  </cellXfs>
  <cellStyles count="1">
    <cellStyle name="Normal" xfId="0" builtinId="0"/>
  </cellStyles>
  <dxfs count="222">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[Bike_Purchase_Analytics_Realistic.xlsx]Pivot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Average</a:t>
            </a:r>
            <a:r>
              <a:rPr lang="en-IN" baseline="0"/>
              <a:t> Income Per Purchase</a:t>
            </a:r>
            <a:endParaRPr lang="en-IN"/>
          </a:p>
        </c:rich>
      </c:tx>
      <c:layout>
        <c:manualLayout>
          <c:xMode val="edge"/>
          <c:yMode val="edge"/>
          <c:x val="0.27510411198600182"/>
          <c:y val="2.212744240303295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869203849518808"/>
          <c:y val="0.15968759113444153"/>
          <c:w val="0.6735301837270341"/>
          <c:h val="0.65853091280256637"/>
        </c:manualLayout>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_(* #,##0.00_);_(* \(#,##0.00\);_(* "-"??_);_(@_)</c:formatCode>
                <c:ptCount val="2"/>
                <c:pt idx="0">
                  <c:v>210.5</c:v>
                </c:pt>
                <c:pt idx="1">
                  <c:v>201.5</c:v>
                </c:pt>
              </c:numCache>
            </c:numRef>
          </c:val>
          <c:extLst>
            <c:ext xmlns:c16="http://schemas.microsoft.com/office/drawing/2014/chart" uri="{C3380CC4-5D6E-409C-BE32-E72D297353CC}">
              <c16:uniqueId val="{00000000-4EF7-4BAD-BE4C-91D53DBB6E0B}"/>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_(* #,##0.00_);_(* \(#,##0.00\);_(* "-"??_);_(@_)</c:formatCode>
                <c:ptCount val="2"/>
                <c:pt idx="0">
                  <c:v>186</c:v>
                </c:pt>
                <c:pt idx="1">
                  <c:v>453</c:v>
                </c:pt>
              </c:numCache>
            </c:numRef>
          </c:val>
          <c:extLst>
            <c:ext xmlns:c16="http://schemas.microsoft.com/office/drawing/2014/chart" uri="{C3380CC4-5D6E-409C-BE32-E72D297353CC}">
              <c16:uniqueId val="{00000001-4EF7-4BAD-BE4C-91D53DBB6E0B}"/>
            </c:ext>
          </c:extLst>
        </c:ser>
        <c:dLbls>
          <c:dLblPos val="outEnd"/>
          <c:showLegendKey val="0"/>
          <c:showVal val="0"/>
          <c:showCatName val="0"/>
          <c:showSerName val="0"/>
          <c:showPercent val="0"/>
          <c:showBubbleSize val="0"/>
        </c:dLbls>
        <c:gapWidth val="219"/>
        <c:overlap val="-27"/>
        <c:axId val="201045871"/>
        <c:axId val="201046351"/>
      </c:barChart>
      <c:catAx>
        <c:axId val="20104587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046351"/>
        <c:crosses val="autoZero"/>
        <c:auto val="1"/>
        <c:lblAlgn val="ctr"/>
        <c:lblOffset val="100"/>
        <c:noMultiLvlLbl val="0"/>
      </c:catAx>
      <c:valAx>
        <c:axId val="20104635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045871"/>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[Bike_Purchase_Analytics_Realistic.xlsx]Pivot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commute</a:t>
            </a:r>
            <a:endParaRPr lang="en-IN"/>
          </a:p>
        </c:rich>
      </c:tx>
      <c:layout>
        <c:manualLayout>
          <c:xMode val="edge"/>
          <c:yMode val="edge"/>
          <c:x val="0.38236789151356088"/>
          <c:y val="2.675707203266258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758092738407698"/>
          <c:y val="0.14249781277340332"/>
          <c:w val="0.6735301837270341"/>
          <c:h val="0.65853091280256637"/>
        </c:manualLayout>
      </c:layout>
      <c:lineChart>
        <c:grouping val="standard"/>
        <c:varyColors val="0"/>
        <c:ser>
          <c:idx val="0"/>
          <c:order val="0"/>
          <c:tx>
            <c:strRef>
              <c:f>'Pivot Table'!$B$16:$B$17</c:f>
              <c:strCache>
                <c:ptCount val="1"/>
                <c:pt idx="0">
                  <c:v>No</c:v>
                </c:pt>
              </c:strCache>
            </c:strRef>
          </c:tx>
          <c:spPr>
            <a:ln w="28575" cap="rnd">
              <a:solidFill>
                <a:schemeClr val="accent1"/>
              </a:solidFill>
              <a:round/>
            </a:ln>
            <a:effectLst/>
          </c:spPr>
          <c:marker>
            <c:symbol val="none"/>
          </c:marker>
          <c:cat>
            <c:strRef>
              <c:f>'Pivot Table'!$A$18:$A$22</c:f>
              <c:strCache>
                <c:ptCount val="4"/>
                <c:pt idx="0">
                  <c:v>0-1 Miles</c:v>
                </c:pt>
                <c:pt idx="1">
                  <c:v>10+ Miles</c:v>
                </c:pt>
                <c:pt idx="2">
                  <c:v>1-2 Miles</c:v>
                </c:pt>
                <c:pt idx="3">
                  <c:v>5-10 Miles</c:v>
                </c:pt>
              </c:strCache>
            </c:strRef>
          </c:cat>
          <c:val>
            <c:numRef>
              <c:f>'Pivot Table'!$B$18:$B$22</c:f>
              <c:numCache>
                <c:formatCode>General</c:formatCode>
                <c:ptCount val="4"/>
                <c:pt idx="0">
                  <c:v>1</c:v>
                </c:pt>
                <c:pt idx="1">
                  <c:v>3</c:v>
                </c:pt>
                <c:pt idx="2">
                  <c:v>1</c:v>
                </c:pt>
                <c:pt idx="3">
                  <c:v>1</c:v>
                </c:pt>
              </c:numCache>
            </c:numRef>
          </c:val>
          <c:smooth val="0"/>
          <c:extLst>
            <c:ext xmlns:c16="http://schemas.microsoft.com/office/drawing/2014/chart" uri="{C3380CC4-5D6E-409C-BE32-E72D297353CC}">
              <c16:uniqueId val="{00000000-5674-402D-8938-C4823B969F83}"/>
            </c:ext>
          </c:extLst>
        </c:ser>
        <c:ser>
          <c:idx val="1"/>
          <c:order val="1"/>
          <c:tx>
            <c:strRef>
              <c:f>'Pivot Table'!$C$16:$C$17</c:f>
              <c:strCache>
                <c:ptCount val="1"/>
                <c:pt idx="0">
                  <c:v>Yes</c:v>
                </c:pt>
              </c:strCache>
            </c:strRef>
          </c:tx>
          <c:spPr>
            <a:ln w="28575" cap="rnd">
              <a:solidFill>
                <a:schemeClr val="accent2"/>
              </a:solidFill>
              <a:round/>
            </a:ln>
            <a:effectLst/>
          </c:spPr>
          <c:marker>
            <c:symbol val="none"/>
          </c:marker>
          <c:cat>
            <c:strRef>
              <c:f>'Pivot Table'!$A$18:$A$22</c:f>
              <c:strCache>
                <c:ptCount val="4"/>
                <c:pt idx="0">
                  <c:v>0-1 Miles</c:v>
                </c:pt>
                <c:pt idx="1">
                  <c:v>10+ Miles</c:v>
                </c:pt>
                <c:pt idx="2">
                  <c:v>1-2 Miles</c:v>
                </c:pt>
                <c:pt idx="3">
                  <c:v>5-10 Miles</c:v>
                </c:pt>
              </c:strCache>
            </c:strRef>
          </c:cat>
          <c:val>
            <c:numRef>
              <c:f>'Pivot Table'!$C$18:$C$22</c:f>
              <c:numCache>
                <c:formatCode>General</c:formatCode>
                <c:ptCount val="4"/>
                <c:pt idx="1">
                  <c:v>1</c:v>
                </c:pt>
                <c:pt idx="2">
                  <c:v>2</c:v>
                </c:pt>
              </c:numCache>
            </c:numRef>
          </c:val>
          <c:smooth val="0"/>
          <c:extLst>
            <c:ext xmlns:c16="http://schemas.microsoft.com/office/drawing/2014/chart" uri="{C3380CC4-5D6E-409C-BE32-E72D297353CC}">
              <c16:uniqueId val="{00000001-5674-402D-8938-C4823B969F83}"/>
            </c:ext>
          </c:extLst>
        </c:ser>
        <c:dLbls>
          <c:showLegendKey val="0"/>
          <c:showVal val="0"/>
          <c:showCatName val="0"/>
          <c:showSerName val="0"/>
          <c:showPercent val="0"/>
          <c:showBubbleSize val="0"/>
        </c:dLbls>
        <c:smooth val="0"/>
        <c:axId val="521715839"/>
        <c:axId val="521723999"/>
      </c:lineChart>
      <c:catAx>
        <c:axId val="52171583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a:t>
                </a:r>
                <a:r>
                  <a:rPr lang="en-IN" baseline="0"/>
                  <a:t> Distance</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1723999"/>
        <c:crosses val="autoZero"/>
        <c:auto val="1"/>
        <c:lblAlgn val="ctr"/>
        <c:lblOffset val="100"/>
        <c:noMultiLvlLbl val="0"/>
      </c:catAx>
      <c:valAx>
        <c:axId val="5217239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17158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[Bike_Purchase_Analytics_Realistic.xlsx]Pivot Table!PivotTable5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Age brackets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Table'!$B$44:$B$45</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Table'!$A$46:$A$50</c:f>
              <c:strCache>
                <c:ptCount val="4"/>
                <c:pt idx="0">
                  <c:v>Adolescent</c:v>
                </c:pt>
                <c:pt idx="1">
                  <c:v>Invalid</c:v>
                </c:pt>
                <c:pt idx="2">
                  <c:v>Middle Age</c:v>
                </c:pt>
                <c:pt idx="3">
                  <c:v>Old</c:v>
                </c:pt>
              </c:strCache>
            </c:strRef>
          </c:cat>
          <c:val>
            <c:numRef>
              <c:f>'Pivot Table'!$B$46:$B$50</c:f>
              <c:numCache>
                <c:formatCode>General</c:formatCode>
                <c:ptCount val="4"/>
                <c:pt idx="0">
                  <c:v>103</c:v>
                </c:pt>
                <c:pt idx="1">
                  <c:v>8</c:v>
                </c:pt>
                <c:pt idx="2">
                  <c:v>230</c:v>
                </c:pt>
                <c:pt idx="3">
                  <c:v>62</c:v>
                </c:pt>
              </c:numCache>
            </c:numRef>
          </c:val>
          <c:smooth val="0"/>
          <c:extLst>
            <c:ext xmlns:c16="http://schemas.microsoft.com/office/drawing/2014/chart" uri="{C3380CC4-5D6E-409C-BE32-E72D297353CC}">
              <c16:uniqueId val="{00000000-77CD-49C9-878B-B3B88F1BF61A}"/>
            </c:ext>
          </c:extLst>
        </c:ser>
        <c:ser>
          <c:idx val="1"/>
          <c:order val="1"/>
          <c:tx>
            <c:strRef>
              <c:f>'Pivot Table'!$C$44:$C$45</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Table'!$A$46:$A$50</c:f>
              <c:strCache>
                <c:ptCount val="4"/>
                <c:pt idx="0">
                  <c:v>Adolescent</c:v>
                </c:pt>
                <c:pt idx="1">
                  <c:v>Invalid</c:v>
                </c:pt>
                <c:pt idx="2">
                  <c:v>Middle Age</c:v>
                </c:pt>
                <c:pt idx="3">
                  <c:v>Old</c:v>
                </c:pt>
              </c:strCache>
            </c:strRef>
          </c:cat>
          <c:val>
            <c:numRef>
              <c:f>'Pivot Table'!$C$46:$C$50</c:f>
              <c:numCache>
                <c:formatCode>General</c:formatCode>
                <c:ptCount val="4"/>
                <c:pt idx="0">
                  <c:v>45</c:v>
                </c:pt>
                <c:pt idx="1">
                  <c:v>4</c:v>
                </c:pt>
                <c:pt idx="2">
                  <c:v>48</c:v>
                </c:pt>
              </c:numCache>
            </c:numRef>
          </c:val>
          <c:smooth val="0"/>
          <c:extLst>
            <c:ext xmlns:c16="http://schemas.microsoft.com/office/drawing/2014/chart" uri="{C3380CC4-5D6E-409C-BE32-E72D297353CC}">
              <c16:uniqueId val="{00000001-77CD-49C9-878B-B3B88F1BF61A}"/>
            </c:ext>
          </c:extLst>
        </c:ser>
        <c:dLbls>
          <c:showLegendKey val="0"/>
          <c:showVal val="0"/>
          <c:showCatName val="0"/>
          <c:showSerName val="0"/>
          <c:showPercent val="0"/>
          <c:showBubbleSize val="0"/>
        </c:dLbls>
        <c:marker val="1"/>
        <c:smooth val="0"/>
        <c:axId val="521713919"/>
        <c:axId val="521730719"/>
      </c:lineChart>
      <c:catAx>
        <c:axId val="52171391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r>
                  <a:rPr lang="en-IN" baseline="0"/>
                  <a:t> bracket</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1730719"/>
        <c:crosses val="autoZero"/>
        <c:auto val="1"/>
        <c:lblAlgn val="ctr"/>
        <c:lblOffset val="100"/>
        <c:noMultiLvlLbl val="0"/>
      </c:catAx>
      <c:valAx>
        <c:axId val="5217307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17139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[Bike_Purchase_Analytics_Realistic.xlsx]Pivot Table!PivotTable6</c:name>
    <c:fmtId val="1"/>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Table'!$B$58:$B$59</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'Pivot Table'!$A$60:$A$107</c:f>
              <c:multiLvlStrCache>
                <c:ptCount val="43"/>
                <c:lvl>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lvl>
                <c:lvl>
                  <c:pt idx="0">
                    <c:v>Adolescent</c:v>
                  </c:pt>
                  <c:pt idx="13">
                    <c:v>Invalid</c:v>
                  </c:pt>
                  <c:pt idx="14">
                    <c:v>Middle Age</c:v>
                  </c:pt>
                  <c:pt idx="37">
                    <c:v>Old</c:v>
                  </c:pt>
                </c:lvl>
              </c:multiLvlStrCache>
            </c:multiLvlStrRef>
          </c:cat>
          <c:val>
            <c:numRef>
              <c:f>'Pivot Table'!$B$60:$B$107</c:f>
              <c:numCache>
                <c:formatCode>General</c:formatCode>
                <c:ptCount val="43"/>
                <c:pt idx="0">
                  <c:v>11</c:v>
                </c:pt>
                <c:pt idx="1">
                  <c:v>7</c:v>
                </c:pt>
                <c:pt idx="2">
                  <c:v>11</c:v>
                </c:pt>
                <c:pt idx="3">
                  <c:v>6</c:v>
                </c:pt>
                <c:pt idx="4">
                  <c:v>7</c:v>
                </c:pt>
                <c:pt idx="5">
                  <c:v>8</c:v>
                </c:pt>
                <c:pt idx="6">
                  <c:v>6</c:v>
                </c:pt>
                <c:pt idx="7">
                  <c:v>10</c:v>
                </c:pt>
                <c:pt idx="8">
                  <c:v>9</c:v>
                </c:pt>
                <c:pt idx="9">
                  <c:v>10</c:v>
                </c:pt>
                <c:pt idx="10">
                  <c:v>10</c:v>
                </c:pt>
                <c:pt idx="11">
                  <c:v>6</c:v>
                </c:pt>
                <c:pt idx="12">
                  <c:v>2</c:v>
                </c:pt>
                <c:pt idx="13">
                  <c:v>8</c:v>
                </c:pt>
                <c:pt idx="14">
                  <c:v>12</c:v>
                </c:pt>
                <c:pt idx="15">
                  <c:v>9</c:v>
                </c:pt>
                <c:pt idx="16">
                  <c:v>9</c:v>
                </c:pt>
                <c:pt idx="17">
                  <c:v>8</c:v>
                </c:pt>
                <c:pt idx="18">
                  <c:v>8</c:v>
                </c:pt>
                <c:pt idx="19">
                  <c:v>9</c:v>
                </c:pt>
                <c:pt idx="20">
                  <c:v>11</c:v>
                </c:pt>
                <c:pt idx="21">
                  <c:v>5</c:v>
                </c:pt>
                <c:pt idx="22">
                  <c:v>6</c:v>
                </c:pt>
                <c:pt idx="23">
                  <c:v>11</c:v>
                </c:pt>
                <c:pt idx="24">
                  <c:v>9</c:v>
                </c:pt>
                <c:pt idx="25">
                  <c:v>8</c:v>
                </c:pt>
                <c:pt idx="26">
                  <c:v>11</c:v>
                </c:pt>
                <c:pt idx="27">
                  <c:v>9</c:v>
                </c:pt>
                <c:pt idx="28">
                  <c:v>14</c:v>
                </c:pt>
                <c:pt idx="29">
                  <c:v>7</c:v>
                </c:pt>
                <c:pt idx="30">
                  <c:v>13</c:v>
                </c:pt>
                <c:pt idx="31">
                  <c:v>13</c:v>
                </c:pt>
                <c:pt idx="32">
                  <c:v>8</c:v>
                </c:pt>
                <c:pt idx="33">
                  <c:v>12</c:v>
                </c:pt>
                <c:pt idx="34">
                  <c:v>11</c:v>
                </c:pt>
                <c:pt idx="35">
                  <c:v>10</c:v>
                </c:pt>
                <c:pt idx="36">
                  <c:v>17</c:v>
                </c:pt>
                <c:pt idx="37">
                  <c:v>8</c:v>
                </c:pt>
                <c:pt idx="38">
                  <c:v>14</c:v>
                </c:pt>
                <c:pt idx="39">
                  <c:v>5</c:v>
                </c:pt>
                <c:pt idx="40">
                  <c:v>12</c:v>
                </c:pt>
                <c:pt idx="41">
                  <c:v>9</c:v>
                </c:pt>
                <c:pt idx="42">
                  <c:v>14</c:v>
                </c:pt>
              </c:numCache>
            </c:numRef>
          </c:val>
          <c:smooth val="0"/>
          <c:extLst>
            <c:ext xmlns:c16="http://schemas.microsoft.com/office/drawing/2014/chart" uri="{C3380CC4-5D6E-409C-BE32-E72D297353CC}">
              <c16:uniqueId val="{00000000-BB74-471D-91EB-1F335DAD6527}"/>
            </c:ext>
          </c:extLst>
        </c:ser>
        <c:ser>
          <c:idx val="1"/>
          <c:order val="1"/>
          <c:tx>
            <c:strRef>
              <c:f>'Pivot Table'!$C$58:$C$59</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multiLvlStrRef>
              <c:f>'Pivot Table'!$A$60:$A$107</c:f>
              <c:multiLvlStrCache>
                <c:ptCount val="43"/>
                <c:lvl>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lvl>
                <c:lvl>
                  <c:pt idx="0">
                    <c:v>Adolescent</c:v>
                  </c:pt>
                  <c:pt idx="13">
                    <c:v>Invalid</c:v>
                  </c:pt>
                  <c:pt idx="14">
                    <c:v>Middle Age</c:v>
                  </c:pt>
                  <c:pt idx="37">
                    <c:v>Old</c:v>
                  </c:pt>
                </c:lvl>
              </c:multiLvlStrCache>
            </c:multiLvlStrRef>
          </c:cat>
          <c:val>
            <c:numRef>
              <c:f>'Pivot Table'!$C$60:$C$107</c:f>
              <c:numCache>
                <c:formatCode>General</c:formatCode>
                <c:ptCount val="43"/>
                <c:pt idx="0">
                  <c:v>3</c:v>
                </c:pt>
                <c:pt idx="1">
                  <c:v>7</c:v>
                </c:pt>
                <c:pt idx="2">
                  <c:v>2</c:v>
                </c:pt>
                <c:pt idx="3">
                  <c:v>3</c:v>
                </c:pt>
                <c:pt idx="4">
                  <c:v>5</c:v>
                </c:pt>
                <c:pt idx="5">
                  <c:v>4</c:v>
                </c:pt>
                <c:pt idx="6">
                  <c:v>5</c:v>
                </c:pt>
                <c:pt idx="7">
                  <c:v>1</c:v>
                </c:pt>
                <c:pt idx="8">
                  <c:v>3</c:v>
                </c:pt>
                <c:pt idx="9">
                  <c:v>2</c:v>
                </c:pt>
                <c:pt idx="10">
                  <c:v>2</c:v>
                </c:pt>
                <c:pt idx="11">
                  <c:v>3</c:v>
                </c:pt>
                <c:pt idx="12">
                  <c:v>5</c:v>
                </c:pt>
                <c:pt idx="13">
                  <c:v>4</c:v>
                </c:pt>
                <c:pt idx="14">
                  <c:v>3</c:v>
                </c:pt>
                <c:pt idx="15">
                  <c:v>3</c:v>
                </c:pt>
                <c:pt idx="16">
                  <c:v>5</c:v>
                </c:pt>
                <c:pt idx="17">
                  <c:v>1</c:v>
                </c:pt>
                <c:pt idx="18">
                  <c:v>5</c:v>
                </c:pt>
                <c:pt idx="19">
                  <c:v>2</c:v>
                </c:pt>
                <c:pt idx="20">
                  <c:v>4</c:v>
                </c:pt>
                <c:pt idx="21">
                  <c:v>3</c:v>
                </c:pt>
                <c:pt idx="22">
                  <c:v>3</c:v>
                </c:pt>
                <c:pt idx="23">
                  <c:v>7</c:v>
                </c:pt>
                <c:pt idx="24">
                  <c:v>6</c:v>
                </c:pt>
                <c:pt idx="25">
                  <c:v>3</c:v>
                </c:pt>
                <c:pt idx="26">
                  <c:v>3</c:v>
                </c:pt>
              </c:numCache>
            </c:numRef>
          </c:val>
          <c:smooth val="0"/>
          <c:extLst>
            <c:ext xmlns:c16="http://schemas.microsoft.com/office/drawing/2014/chart" uri="{C3380CC4-5D6E-409C-BE32-E72D297353CC}">
              <c16:uniqueId val="{00000001-BB74-471D-91EB-1F335DAD6527}"/>
            </c:ext>
          </c:extLst>
        </c:ser>
        <c:dLbls>
          <c:showLegendKey val="0"/>
          <c:showVal val="0"/>
          <c:showCatName val="0"/>
          <c:showSerName val="0"/>
          <c:showPercent val="0"/>
          <c:showBubbleSize val="0"/>
        </c:dLbls>
        <c:marker val="1"/>
        <c:smooth val="0"/>
        <c:axId val="521735039"/>
        <c:axId val="521735519"/>
      </c:lineChart>
      <c:catAx>
        <c:axId val="5217350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1735519"/>
        <c:crosses val="autoZero"/>
        <c:auto val="1"/>
        <c:lblAlgn val="ctr"/>
        <c:lblOffset val="100"/>
        <c:noMultiLvlLbl val="0"/>
      </c:catAx>
      <c:valAx>
        <c:axId val="5217355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17350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[Bike_Purchase_Analytics_Realistic.xlsx]Pivot Table!PivotTable2</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200"/>
              <a:t>Average</a:t>
            </a:r>
            <a:r>
              <a:rPr lang="en-IN" sz="1200" baseline="0"/>
              <a:t> Income Per Purchase</a:t>
            </a:r>
            <a:endParaRPr lang="en-IN" sz="1200"/>
          </a:p>
        </c:rich>
      </c:tx>
      <c:layout>
        <c:manualLayout>
          <c:xMode val="edge"/>
          <c:yMode val="edge"/>
          <c:x val="0.27983886602242902"/>
          <c:y val="5.037590640153031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5967773204485809"/>
          <c:y val="0.22324502869344717"/>
          <c:w val="0.5386755208503502"/>
          <c:h val="0.24713454780016905"/>
        </c:manualLayout>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_(* #,##0.00_);_(* \(#,##0.00\);_(* "-"??_);_(@_)</c:formatCode>
                <c:ptCount val="2"/>
                <c:pt idx="0">
                  <c:v>210.5</c:v>
                </c:pt>
                <c:pt idx="1">
                  <c:v>201.5</c:v>
                </c:pt>
              </c:numCache>
            </c:numRef>
          </c:val>
          <c:extLst>
            <c:ext xmlns:c16="http://schemas.microsoft.com/office/drawing/2014/chart" uri="{C3380CC4-5D6E-409C-BE32-E72D297353CC}">
              <c16:uniqueId val="{00000000-D6D3-4B7E-B93F-9CF3D1EBC505}"/>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_(* #,##0.00_);_(* \(#,##0.00\);_(* "-"??_);_(@_)</c:formatCode>
                <c:ptCount val="2"/>
                <c:pt idx="0">
                  <c:v>186</c:v>
                </c:pt>
                <c:pt idx="1">
                  <c:v>453</c:v>
                </c:pt>
              </c:numCache>
            </c:numRef>
          </c:val>
          <c:extLst>
            <c:ext xmlns:c16="http://schemas.microsoft.com/office/drawing/2014/chart" uri="{C3380CC4-5D6E-409C-BE32-E72D297353CC}">
              <c16:uniqueId val="{00000001-D6D3-4B7E-B93F-9CF3D1EBC505}"/>
            </c:ext>
          </c:extLst>
        </c:ser>
        <c:dLbls>
          <c:showLegendKey val="0"/>
          <c:showVal val="0"/>
          <c:showCatName val="0"/>
          <c:showSerName val="0"/>
          <c:showPercent val="0"/>
          <c:showBubbleSize val="0"/>
        </c:dLbls>
        <c:gapWidth val="219"/>
        <c:overlap val="-27"/>
        <c:axId val="201045871"/>
        <c:axId val="201046351"/>
      </c:barChart>
      <c:catAx>
        <c:axId val="20104587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layout>
            <c:manualLayout>
              <c:xMode val="edge"/>
              <c:yMode val="edge"/>
              <c:x val="0.52285369570739137"/>
              <c:y val="0.8862902422007376"/>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046351"/>
        <c:crosses val="autoZero"/>
        <c:auto val="1"/>
        <c:lblAlgn val="ctr"/>
        <c:lblOffset val="100"/>
        <c:noMultiLvlLbl val="0"/>
      </c:catAx>
      <c:valAx>
        <c:axId val="20104635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0_);_(* \(#,##0.00\);_(*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045871"/>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layout>
        <c:manualLayout>
          <c:xMode val="edge"/>
          <c:yMode val="edge"/>
          <c:x val="0.85619660502777095"/>
          <c:y val="0.54426357762971933"/>
          <c:w val="0.11404162298409584"/>
          <c:h val="0.2722681816671650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[Bike_Purchase_Analytics_Realistic.xlsx]Pivot Table!PivotTable3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 commute</a:t>
            </a:r>
          </a:p>
        </c:rich>
      </c:tx>
      <c:layout>
        <c:manualLayout>
          <c:xMode val="edge"/>
          <c:yMode val="edge"/>
          <c:x val="0.38236789151356088"/>
          <c:y val="2.675707203266258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887227778960066"/>
          <c:y val="0.19300257922305167"/>
          <c:w val="0.59094754203021915"/>
          <c:h val="0.44208053538762204"/>
        </c:manualLayout>
      </c:layout>
      <c:lineChart>
        <c:grouping val="standard"/>
        <c:varyColors val="0"/>
        <c:ser>
          <c:idx val="0"/>
          <c:order val="0"/>
          <c:tx>
            <c:strRef>
              <c:f>'Pivot Table'!$B$16:$B$17</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Table'!$A$18:$A$22</c:f>
              <c:strCache>
                <c:ptCount val="4"/>
                <c:pt idx="0">
                  <c:v>0-1 Miles</c:v>
                </c:pt>
                <c:pt idx="1">
                  <c:v>10+ Miles</c:v>
                </c:pt>
                <c:pt idx="2">
                  <c:v>1-2 Miles</c:v>
                </c:pt>
                <c:pt idx="3">
                  <c:v>5-10 Miles</c:v>
                </c:pt>
              </c:strCache>
            </c:strRef>
          </c:cat>
          <c:val>
            <c:numRef>
              <c:f>'Pivot Table'!$B$18:$B$22</c:f>
              <c:numCache>
                <c:formatCode>General</c:formatCode>
                <c:ptCount val="4"/>
                <c:pt idx="0">
                  <c:v>1</c:v>
                </c:pt>
                <c:pt idx="1">
                  <c:v>3</c:v>
                </c:pt>
                <c:pt idx="2">
                  <c:v>1</c:v>
                </c:pt>
                <c:pt idx="3">
                  <c:v>1</c:v>
                </c:pt>
              </c:numCache>
            </c:numRef>
          </c:val>
          <c:smooth val="0"/>
          <c:extLst>
            <c:ext xmlns:c16="http://schemas.microsoft.com/office/drawing/2014/chart" uri="{C3380CC4-5D6E-409C-BE32-E72D297353CC}">
              <c16:uniqueId val="{00000000-F4D5-4494-86D6-6243C19BB611}"/>
            </c:ext>
          </c:extLst>
        </c:ser>
        <c:ser>
          <c:idx val="1"/>
          <c:order val="1"/>
          <c:tx>
            <c:strRef>
              <c:f>'Pivot Table'!$C$16:$C$17</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Table'!$A$18:$A$22</c:f>
              <c:strCache>
                <c:ptCount val="4"/>
                <c:pt idx="0">
                  <c:v>0-1 Miles</c:v>
                </c:pt>
                <c:pt idx="1">
                  <c:v>10+ Miles</c:v>
                </c:pt>
                <c:pt idx="2">
                  <c:v>1-2 Miles</c:v>
                </c:pt>
                <c:pt idx="3">
                  <c:v>5-10 Miles</c:v>
                </c:pt>
              </c:strCache>
            </c:strRef>
          </c:cat>
          <c:val>
            <c:numRef>
              <c:f>'Pivot Table'!$C$18:$C$22</c:f>
              <c:numCache>
                <c:formatCode>General</c:formatCode>
                <c:ptCount val="4"/>
                <c:pt idx="1">
                  <c:v>1</c:v>
                </c:pt>
                <c:pt idx="2">
                  <c:v>2</c:v>
                </c:pt>
              </c:numCache>
            </c:numRef>
          </c:val>
          <c:smooth val="0"/>
          <c:extLst>
            <c:ext xmlns:c16="http://schemas.microsoft.com/office/drawing/2014/chart" uri="{C3380CC4-5D6E-409C-BE32-E72D297353CC}">
              <c16:uniqueId val="{00000001-F4D5-4494-86D6-6243C19BB611}"/>
            </c:ext>
          </c:extLst>
        </c:ser>
        <c:dLbls>
          <c:showLegendKey val="0"/>
          <c:showVal val="0"/>
          <c:showCatName val="0"/>
          <c:showSerName val="0"/>
          <c:showPercent val="0"/>
          <c:showBubbleSize val="0"/>
        </c:dLbls>
        <c:marker val="1"/>
        <c:smooth val="0"/>
        <c:axId val="521715839"/>
        <c:axId val="521723999"/>
      </c:lineChart>
      <c:catAx>
        <c:axId val="52171583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 Distance</a:t>
                </a:r>
              </a:p>
            </c:rich>
          </c:tx>
          <c:layout>
            <c:manualLayout>
              <c:xMode val="edge"/>
              <c:yMode val="edge"/>
              <c:x val="0.41952587611405318"/>
              <c:y val="0.79008554486244775"/>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1723999"/>
        <c:crosses val="autoZero"/>
        <c:auto val="1"/>
        <c:lblAlgn val="ctr"/>
        <c:lblOffset val="100"/>
        <c:noMultiLvlLbl val="0"/>
      </c:catAx>
      <c:valAx>
        <c:axId val="5217239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1715839"/>
        <c:crosses val="autoZero"/>
        <c:crossBetween val="between"/>
      </c:valAx>
      <c:spPr>
        <a:noFill/>
        <a:ln>
          <a:noFill/>
        </a:ln>
        <a:effectLst/>
      </c:spPr>
    </c:plotArea>
    <c:legend>
      <c:legendPos val="r"/>
      <c:layout>
        <c:manualLayout>
          <c:xMode val="edge"/>
          <c:yMode val="edge"/>
          <c:x val="0.78492444512397119"/>
          <c:y val="0.58620089155522226"/>
          <c:w val="0.2"/>
          <c:h val="0.2235174249052201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[Bike_Purchase_Analytics_Realistic.xlsx]Pivot Table!PivotTable5</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200"/>
              <a:t>Customer</a:t>
            </a:r>
            <a:r>
              <a:rPr lang="en-IN" sz="1200" baseline="0"/>
              <a:t> Age brackets</a:t>
            </a:r>
            <a:endParaRPr lang="en-IN" sz="1200"/>
          </a:p>
        </c:rich>
      </c:tx>
      <c:layout>
        <c:manualLayout>
          <c:xMode val="edge"/>
          <c:yMode val="edge"/>
          <c:x val="0.37166022186158026"/>
          <c:y val="0.12346894138232721"/>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276986369070279"/>
          <c:y val="0.24909394138232718"/>
          <c:w val="0.50157279958325818"/>
          <c:h val="0.26490266841644794"/>
        </c:manualLayout>
      </c:layout>
      <c:lineChart>
        <c:grouping val="standard"/>
        <c:varyColors val="0"/>
        <c:ser>
          <c:idx val="0"/>
          <c:order val="0"/>
          <c:tx>
            <c:strRef>
              <c:f>'Pivot Table'!$B$44:$B$45</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Table'!$A$46:$A$50</c:f>
              <c:strCache>
                <c:ptCount val="4"/>
                <c:pt idx="0">
                  <c:v>Adolescent</c:v>
                </c:pt>
                <c:pt idx="1">
                  <c:v>Invalid</c:v>
                </c:pt>
                <c:pt idx="2">
                  <c:v>Middle Age</c:v>
                </c:pt>
                <c:pt idx="3">
                  <c:v>Old</c:v>
                </c:pt>
              </c:strCache>
            </c:strRef>
          </c:cat>
          <c:val>
            <c:numRef>
              <c:f>'Pivot Table'!$B$46:$B$50</c:f>
              <c:numCache>
                <c:formatCode>General</c:formatCode>
                <c:ptCount val="4"/>
                <c:pt idx="0">
                  <c:v>103</c:v>
                </c:pt>
                <c:pt idx="1">
                  <c:v>8</c:v>
                </c:pt>
                <c:pt idx="2">
                  <c:v>230</c:v>
                </c:pt>
                <c:pt idx="3">
                  <c:v>62</c:v>
                </c:pt>
              </c:numCache>
            </c:numRef>
          </c:val>
          <c:smooth val="0"/>
          <c:extLst>
            <c:ext xmlns:c16="http://schemas.microsoft.com/office/drawing/2014/chart" uri="{C3380CC4-5D6E-409C-BE32-E72D297353CC}">
              <c16:uniqueId val="{00000000-A4E5-42EB-B38B-6026F6331A43}"/>
            </c:ext>
          </c:extLst>
        </c:ser>
        <c:ser>
          <c:idx val="1"/>
          <c:order val="1"/>
          <c:tx>
            <c:strRef>
              <c:f>'Pivot Table'!$C$44:$C$45</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Table'!$A$46:$A$50</c:f>
              <c:strCache>
                <c:ptCount val="4"/>
                <c:pt idx="0">
                  <c:v>Adolescent</c:v>
                </c:pt>
                <c:pt idx="1">
                  <c:v>Invalid</c:v>
                </c:pt>
                <c:pt idx="2">
                  <c:v>Middle Age</c:v>
                </c:pt>
                <c:pt idx="3">
                  <c:v>Old</c:v>
                </c:pt>
              </c:strCache>
            </c:strRef>
          </c:cat>
          <c:val>
            <c:numRef>
              <c:f>'Pivot Table'!$C$46:$C$50</c:f>
              <c:numCache>
                <c:formatCode>General</c:formatCode>
                <c:ptCount val="4"/>
                <c:pt idx="0">
                  <c:v>45</c:v>
                </c:pt>
                <c:pt idx="1">
                  <c:v>4</c:v>
                </c:pt>
                <c:pt idx="2">
                  <c:v>48</c:v>
                </c:pt>
              </c:numCache>
            </c:numRef>
          </c:val>
          <c:smooth val="0"/>
          <c:extLst>
            <c:ext xmlns:c16="http://schemas.microsoft.com/office/drawing/2014/chart" uri="{C3380CC4-5D6E-409C-BE32-E72D297353CC}">
              <c16:uniqueId val="{00000001-A4E5-42EB-B38B-6026F6331A43}"/>
            </c:ext>
          </c:extLst>
        </c:ser>
        <c:dLbls>
          <c:showLegendKey val="0"/>
          <c:showVal val="0"/>
          <c:showCatName val="0"/>
          <c:showSerName val="0"/>
          <c:showPercent val="0"/>
          <c:showBubbleSize val="0"/>
        </c:dLbls>
        <c:marker val="1"/>
        <c:smooth val="0"/>
        <c:axId val="521713919"/>
        <c:axId val="521730719"/>
      </c:lineChart>
      <c:catAx>
        <c:axId val="52171391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r>
                  <a:rPr lang="en-IN" baseline="0"/>
                  <a:t> bracket</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1730719"/>
        <c:crosses val="autoZero"/>
        <c:auto val="1"/>
        <c:lblAlgn val="ctr"/>
        <c:lblOffset val="100"/>
        <c:noMultiLvlLbl val="0"/>
      </c:catAx>
      <c:valAx>
        <c:axId val="5217307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1713919"/>
        <c:crosses val="autoZero"/>
        <c:crossBetween val="between"/>
      </c:valAx>
      <c:spPr>
        <a:noFill/>
        <a:ln>
          <a:noFill/>
        </a:ln>
        <a:effectLst/>
      </c:spPr>
    </c:plotArea>
    <c:legend>
      <c:legendPos val="r"/>
      <c:layout>
        <c:manualLayout>
          <c:xMode val="edge"/>
          <c:yMode val="edge"/>
          <c:x val="0.74978795589482616"/>
          <c:y val="0.57648786089238846"/>
          <c:w val="0.1993214588634436"/>
          <c:h val="0.2919767060367454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4</xdr:col>
      <xdr:colOff>518160</xdr:colOff>
      <xdr:row>4</xdr:row>
      <xdr:rowOff>140970</xdr:rowOff>
    </xdr:from>
    <xdr:to>
      <xdr:col>12</xdr:col>
      <xdr:colOff>213360</xdr:colOff>
      <xdr:row>19</xdr:row>
      <xdr:rowOff>140970</xdr:rowOff>
    </xdr:to>
    <xdr:graphicFrame macro="">
      <xdr:nvGraphicFramePr>
        <xdr:cNvPr id="2" name="Chart 1">
          <a:extLst>
            <a:ext uri="{FF2B5EF4-FFF2-40B4-BE49-F238E27FC236}">
              <a16:creationId xmlns:a16="http://schemas.microsoft.com/office/drawing/2014/main" id="{65FAADB2-EAB1-6DEE-FB20-F63D0F3767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541020</xdr:colOff>
      <xdr:row>20</xdr:row>
      <xdr:rowOff>64770</xdr:rowOff>
    </xdr:from>
    <xdr:to>
      <xdr:col>12</xdr:col>
      <xdr:colOff>236220</xdr:colOff>
      <xdr:row>35</xdr:row>
      <xdr:rowOff>64770</xdr:rowOff>
    </xdr:to>
    <xdr:graphicFrame macro="">
      <xdr:nvGraphicFramePr>
        <xdr:cNvPr id="3" name="Chart 2">
          <a:extLst>
            <a:ext uri="{FF2B5EF4-FFF2-40B4-BE49-F238E27FC236}">
              <a16:creationId xmlns:a16="http://schemas.microsoft.com/office/drawing/2014/main" id="{8B2BF5DD-7C8A-E092-C102-E6C8849BACB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472440</xdr:colOff>
      <xdr:row>38</xdr:row>
      <xdr:rowOff>19050</xdr:rowOff>
    </xdr:from>
    <xdr:to>
      <xdr:col>12</xdr:col>
      <xdr:colOff>167640</xdr:colOff>
      <xdr:row>53</xdr:row>
      <xdr:rowOff>19050</xdr:rowOff>
    </xdr:to>
    <xdr:graphicFrame macro="">
      <xdr:nvGraphicFramePr>
        <xdr:cNvPr id="4" name="Chart 3">
          <a:extLst>
            <a:ext uri="{FF2B5EF4-FFF2-40B4-BE49-F238E27FC236}">
              <a16:creationId xmlns:a16="http://schemas.microsoft.com/office/drawing/2014/main" id="{E938E5F3-F9C8-1B45-1CF1-D5053522A03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586740</xdr:colOff>
      <xdr:row>55</xdr:row>
      <xdr:rowOff>148590</xdr:rowOff>
    </xdr:from>
    <xdr:to>
      <xdr:col>12</xdr:col>
      <xdr:colOff>281940</xdr:colOff>
      <xdr:row>70</xdr:row>
      <xdr:rowOff>148590</xdr:rowOff>
    </xdr:to>
    <xdr:graphicFrame macro="">
      <xdr:nvGraphicFramePr>
        <xdr:cNvPr id="5" name="Chart 4">
          <a:extLst>
            <a:ext uri="{FF2B5EF4-FFF2-40B4-BE49-F238E27FC236}">
              <a16:creationId xmlns:a16="http://schemas.microsoft.com/office/drawing/2014/main" id="{53DCF431-E86E-BECD-D99E-8EFD21CFDC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518160</xdr:colOff>
      <xdr:row>3</xdr:row>
      <xdr:rowOff>7620</xdr:rowOff>
    </xdr:from>
    <xdr:to>
      <xdr:col>5</xdr:col>
      <xdr:colOff>304800</xdr:colOff>
      <xdr:row>12</xdr:row>
      <xdr:rowOff>167640</xdr:rowOff>
    </xdr:to>
    <xdr:graphicFrame macro="">
      <xdr:nvGraphicFramePr>
        <xdr:cNvPr id="2" name="Chart 1">
          <a:extLst>
            <a:ext uri="{FF2B5EF4-FFF2-40B4-BE49-F238E27FC236}">
              <a16:creationId xmlns:a16="http://schemas.microsoft.com/office/drawing/2014/main" id="{CF1A9F65-17AA-49F2-90AA-147F82A4B5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525780</xdr:colOff>
      <xdr:row>12</xdr:row>
      <xdr:rowOff>167640</xdr:rowOff>
    </xdr:from>
    <xdr:to>
      <xdr:col>10</xdr:col>
      <xdr:colOff>15240</xdr:colOff>
      <xdr:row>25</xdr:row>
      <xdr:rowOff>129540</xdr:rowOff>
    </xdr:to>
    <xdr:graphicFrame macro="">
      <xdr:nvGraphicFramePr>
        <xdr:cNvPr id="3" name="Chart 2">
          <a:extLst>
            <a:ext uri="{FF2B5EF4-FFF2-40B4-BE49-F238E27FC236}">
              <a16:creationId xmlns:a16="http://schemas.microsoft.com/office/drawing/2014/main" id="{A70771D4-598B-4BC0-AA72-6296AD8A6E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312420</xdr:colOff>
      <xdr:row>3</xdr:row>
      <xdr:rowOff>15240</xdr:rowOff>
    </xdr:from>
    <xdr:to>
      <xdr:col>10</xdr:col>
      <xdr:colOff>15240</xdr:colOff>
      <xdr:row>13</xdr:row>
      <xdr:rowOff>7620</xdr:rowOff>
    </xdr:to>
    <xdr:graphicFrame macro="">
      <xdr:nvGraphicFramePr>
        <xdr:cNvPr id="5" name="Chart 4">
          <a:extLst>
            <a:ext uri="{FF2B5EF4-FFF2-40B4-BE49-F238E27FC236}">
              <a16:creationId xmlns:a16="http://schemas.microsoft.com/office/drawing/2014/main" id="{6E716B70-F715-43D5-B5F0-AF4F00662A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10</xdr:col>
      <xdr:colOff>76200</xdr:colOff>
      <xdr:row>0</xdr:row>
      <xdr:rowOff>0</xdr:rowOff>
    </xdr:from>
    <xdr:to>
      <xdr:col>12</xdr:col>
      <xdr:colOff>396240</xdr:colOff>
      <xdr:row>4</xdr:row>
      <xdr:rowOff>167640</xdr:rowOff>
    </xdr:to>
    <mc:AlternateContent xmlns:mc="http://schemas.openxmlformats.org/markup-compatibility/2006">
      <mc:Choice xmlns:a14="http://schemas.microsoft.com/office/drawing/2010/main" Requires="a14">
        <xdr:graphicFrame macro="">
          <xdr:nvGraphicFramePr>
            <xdr:cNvPr id="6" name="Marital Status">
              <a:extLst>
                <a:ext uri="{FF2B5EF4-FFF2-40B4-BE49-F238E27FC236}">
                  <a16:creationId xmlns:a16="http://schemas.microsoft.com/office/drawing/2014/main" id="{BCCE074A-C1AB-3BD7-58E6-2C09E13E06E9}"/>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6172200" y="0"/>
              <a:ext cx="1539240" cy="8991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76200</xdr:colOff>
      <xdr:row>4</xdr:row>
      <xdr:rowOff>175261</xdr:rowOff>
    </xdr:from>
    <xdr:to>
      <xdr:col>12</xdr:col>
      <xdr:colOff>396240</xdr:colOff>
      <xdr:row>13</xdr:row>
      <xdr:rowOff>7620</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0C65636E-5601-3BD3-BDE0-385FBB5FC656}"/>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6172200" y="906781"/>
              <a:ext cx="1539240" cy="14782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76200</xdr:colOff>
      <xdr:row>13</xdr:row>
      <xdr:rowOff>15241</xdr:rowOff>
    </xdr:from>
    <xdr:to>
      <xdr:col>12</xdr:col>
      <xdr:colOff>411480</xdr:colOff>
      <xdr:row>21</xdr:row>
      <xdr:rowOff>7621</xdr:rowOff>
    </xdr:to>
    <mc:AlternateContent xmlns:mc="http://schemas.openxmlformats.org/markup-compatibility/2006">
      <mc:Choice xmlns:a14="http://schemas.microsoft.com/office/drawing/2010/main" Requires="a14">
        <xdr:graphicFrame macro="">
          <xdr:nvGraphicFramePr>
            <xdr:cNvPr id="8" name="Education">
              <a:extLst>
                <a:ext uri="{FF2B5EF4-FFF2-40B4-BE49-F238E27FC236}">
                  <a16:creationId xmlns:a16="http://schemas.microsoft.com/office/drawing/2014/main" id="{0251A4AB-1DCE-4ED5-6E3B-EAD6B02E31DC}"/>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6172200" y="2392681"/>
              <a:ext cx="1554480" cy="14554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76200</xdr:colOff>
      <xdr:row>21</xdr:row>
      <xdr:rowOff>45720</xdr:rowOff>
    </xdr:from>
    <xdr:to>
      <xdr:col>12</xdr:col>
      <xdr:colOff>365760</xdr:colOff>
      <xdr:row>25</xdr:row>
      <xdr:rowOff>106679</xdr:rowOff>
    </xdr:to>
    <mc:AlternateContent xmlns:mc="http://schemas.openxmlformats.org/markup-compatibility/2006">
      <mc:Choice xmlns:a14="http://schemas.microsoft.com/office/drawing/2010/main" Requires="a14">
        <xdr:graphicFrame macro="">
          <xdr:nvGraphicFramePr>
            <xdr:cNvPr id="9" name="Age">
              <a:extLst>
                <a:ext uri="{FF2B5EF4-FFF2-40B4-BE49-F238E27FC236}">
                  <a16:creationId xmlns:a16="http://schemas.microsoft.com/office/drawing/2014/main" id="{07851B2F-5155-612C-2A52-700B642D3972}"/>
                </a:ext>
              </a:extLst>
            </xdr:cNvPr>
            <xdr:cNvGraphicFramePr/>
          </xdr:nvGraphicFramePr>
          <xdr:xfrm>
            <a:off x="0" y="0"/>
            <a:ext cx="0" cy="0"/>
          </xdr:xfrm>
          <a:graphic>
            <a:graphicData uri="http://schemas.microsoft.com/office/drawing/2010/slicer">
              <sle:slicer xmlns:sle="http://schemas.microsoft.com/office/drawing/2010/slicer" name="Age"/>
            </a:graphicData>
          </a:graphic>
        </xdr:graphicFrame>
      </mc:Choice>
      <mc:Fallback>
        <xdr:sp macro="" textlink="">
          <xdr:nvSpPr>
            <xdr:cNvPr id="0" name=""/>
            <xdr:cNvSpPr>
              <a:spLocks noTextEdit="1"/>
            </xdr:cNvSpPr>
          </xdr:nvSpPr>
          <xdr:spPr>
            <a:xfrm>
              <a:off x="6172200" y="3886200"/>
              <a:ext cx="1508760" cy="7924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resh Gopal Singh" refreshedDate="46027.855833680558" createdVersion="8" refreshedVersion="8" minRefreshableVersion="3" recordCount="500" xr:uid="{E2D4AD51-1A6C-480C-A618-ED89B8B01B9C}">
  <cacheSource type="worksheet">
    <worksheetSource ref="A1:M501" sheet="Data"/>
  </cacheSource>
  <cacheFields count="13">
    <cacheField name="Id" numFmtId="0">
      <sharedItems containsSemiMixedTypes="0" containsString="0" containsNumber="1" containsInteger="1" minValue="1" maxValue="500"/>
    </cacheField>
    <cacheField name="Gender" numFmtId="0">
      <sharedItems count="3">
        <s v="Female"/>
        <s v="Male"/>
        <s v="Female+B44:B99"/>
      </sharedItems>
    </cacheField>
    <cacheField name="Marital Status" numFmtId="0">
      <sharedItems count="2">
        <s v="Single"/>
        <s v="Married"/>
      </sharedItems>
    </cacheField>
    <cacheField name="Income" numFmtId="0">
      <sharedItems containsSemiMixedTypes="0" containsString="0" containsNumber="1" containsInteger="1" minValue="20158" maxValue="119946"/>
    </cacheField>
    <cacheField name="Education" numFmtId="0">
      <sharedItems count="4">
        <s v="Graduate"/>
        <s v="Postgraduate"/>
        <s v="Undergraduate"/>
        <s v="High School"/>
      </sharedItems>
    </cacheField>
    <cacheField name="Occupation" numFmtId="0">
      <sharedItems/>
    </cacheField>
    <cacheField name="Home Owner" numFmtId="0">
      <sharedItems/>
    </cacheField>
    <cacheField name="Cars" numFmtId="0">
      <sharedItems containsSemiMixedTypes="0" containsString="0" containsNumber="1" containsInteger="1" minValue="0" maxValue="3"/>
    </cacheField>
    <cacheField name="Commute Distance" numFmtId="0">
      <sharedItems count="5">
        <s v="0-1 Miles"/>
        <s v="5-10 Miles"/>
        <s v="10+ Miles"/>
        <s v="2-5 Miles"/>
        <s v="1-2 Miles"/>
      </sharedItems>
    </cacheField>
    <cacheField name="Region" numFmtId="0">
      <sharedItems count="4">
        <s v="North"/>
        <s v="East"/>
        <s v="West"/>
        <s v="South"/>
      </sharedItems>
    </cacheField>
    <cacheField name="Age" numFmtId="0">
      <sharedItems containsSemiMixedTypes="0" containsString="0" containsNumber="1" containsInteger="1" minValue="18" maxValue="60" count="43">
        <n v="31"/>
        <n v="19"/>
        <n v="58"/>
        <n v="48"/>
        <n v="36"/>
        <n v="60"/>
        <n v="41"/>
        <n v="23"/>
        <n v="20"/>
        <n v="33"/>
        <n v="37"/>
        <n v="55"/>
        <n v="24"/>
        <n v="54"/>
        <n v="51"/>
        <n v="56"/>
        <n v="42"/>
        <n v="26"/>
        <n v="25"/>
        <n v="46"/>
        <n v="50"/>
        <n v="45"/>
        <n v="27"/>
        <n v="34"/>
        <n v="39"/>
        <n v="59"/>
        <n v="35"/>
        <n v="43"/>
        <n v="38"/>
        <n v="28"/>
        <n v="44"/>
        <n v="52"/>
        <n v="18"/>
        <n v="40"/>
        <n v="32"/>
        <n v="53"/>
        <n v="57"/>
        <n v="29"/>
        <n v="30"/>
        <n v="22"/>
        <n v="47"/>
        <n v="21"/>
        <n v="49"/>
      </sharedItems>
    </cacheField>
    <cacheField name="Age Bracket" numFmtId="0">
      <sharedItems count="4">
        <s v="Invalid"/>
        <s v="Adolescent"/>
        <s v="Old"/>
        <s v="Middle Age"/>
      </sharedItems>
    </cacheField>
    <cacheField name="Purchased Bike" numFmtId="0">
      <sharedItems count="2">
        <s v="No"/>
        <s v="Yes"/>
      </sharedItems>
    </cacheField>
  </cacheFields>
  <extLst>
    <ext xmlns:x14="http://schemas.microsoft.com/office/spreadsheetml/2009/9/main" uri="{725AE2AE-9491-48be-B2B4-4EB974FC3084}">
      <x14:pivotCacheDefinition pivotCacheId="3895235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n v="1"/>
    <x v="0"/>
    <x v="0"/>
    <n v="73038"/>
    <x v="0"/>
    <s v="Management"/>
    <s v="No"/>
    <n v="2"/>
    <x v="0"/>
    <x v="0"/>
    <x v="0"/>
    <x v="0"/>
    <x v="0"/>
  </r>
  <r>
    <n v="2"/>
    <x v="1"/>
    <x v="1"/>
    <n v="112766"/>
    <x v="1"/>
    <s v="Clerical"/>
    <s v="Yes"/>
    <n v="0"/>
    <x v="1"/>
    <x v="1"/>
    <x v="1"/>
    <x v="1"/>
    <x v="1"/>
  </r>
  <r>
    <n v="3"/>
    <x v="1"/>
    <x v="0"/>
    <n v="70573"/>
    <x v="2"/>
    <s v="Management"/>
    <s v="No"/>
    <n v="3"/>
    <x v="2"/>
    <x v="2"/>
    <x v="2"/>
    <x v="2"/>
    <x v="0"/>
  </r>
  <r>
    <n v="4"/>
    <x v="0"/>
    <x v="1"/>
    <n v="56130"/>
    <x v="1"/>
    <s v="Management"/>
    <s v="Yes"/>
    <n v="1"/>
    <x v="0"/>
    <x v="1"/>
    <x v="3"/>
    <x v="3"/>
    <x v="0"/>
  </r>
  <r>
    <n v="5"/>
    <x v="1"/>
    <x v="1"/>
    <n v="104427"/>
    <x v="3"/>
    <s v="Skilled Manual"/>
    <s v="Yes"/>
    <n v="0"/>
    <x v="2"/>
    <x v="0"/>
    <x v="4"/>
    <x v="3"/>
    <x v="1"/>
  </r>
  <r>
    <n v="6"/>
    <x v="0"/>
    <x v="1"/>
    <n v="47238"/>
    <x v="1"/>
    <s v="Clerical"/>
    <s v="Yes"/>
    <n v="3"/>
    <x v="3"/>
    <x v="3"/>
    <x v="0"/>
    <x v="0"/>
    <x v="0"/>
  </r>
  <r>
    <n v="7"/>
    <x v="1"/>
    <x v="0"/>
    <n v="26086"/>
    <x v="3"/>
    <s v="Professional"/>
    <s v="No"/>
    <n v="0"/>
    <x v="0"/>
    <x v="3"/>
    <x v="5"/>
    <x v="2"/>
    <x v="0"/>
  </r>
  <r>
    <n v="8"/>
    <x v="0"/>
    <x v="1"/>
    <n v="28166"/>
    <x v="1"/>
    <s v="Manual"/>
    <s v="No"/>
    <n v="2"/>
    <x v="4"/>
    <x v="3"/>
    <x v="6"/>
    <x v="3"/>
    <x v="0"/>
  </r>
  <r>
    <n v="9"/>
    <x v="1"/>
    <x v="1"/>
    <n v="50094"/>
    <x v="1"/>
    <s v="Professional"/>
    <s v="No"/>
    <n v="0"/>
    <x v="0"/>
    <x v="3"/>
    <x v="6"/>
    <x v="3"/>
    <x v="0"/>
  </r>
  <r>
    <n v="10"/>
    <x v="0"/>
    <x v="0"/>
    <n v="79657"/>
    <x v="3"/>
    <s v="Skilled Manual"/>
    <s v="Yes"/>
    <n v="1"/>
    <x v="2"/>
    <x v="3"/>
    <x v="7"/>
    <x v="1"/>
    <x v="0"/>
  </r>
  <r>
    <n v="11"/>
    <x v="0"/>
    <x v="1"/>
    <n v="54840"/>
    <x v="0"/>
    <s v="Clerical"/>
    <s v="No"/>
    <n v="3"/>
    <x v="3"/>
    <x v="0"/>
    <x v="8"/>
    <x v="1"/>
    <x v="0"/>
  </r>
  <r>
    <n v="12"/>
    <x v="1"/>
    <x v="1"/>
    <n v="44876"/>
    <x v="3"/>
    <s v="Clerical"/>
    <s v="No"/>
    <n v="1"/>
    <x v="2"/>
    <x v="2"/>
    <x v="9"/>
    <x v="3"/>
    <x v="0"/>
  </r>
  <r>
    <n v="13"/>
    <x v="1"/>
    <x v="1"/>
    <n v="94089"/>
    <x v="1"/>
    <s v="Skilled Manual"/>
    <s v="No"/>
    <n v="2"/>
    <x v="2"/>
    <x v="2"/>
    <x v="10"/>
    <x v="3"/>
    <x v="0"/>
  </r>
  <r>
    <n v="14"/>
    <x v="0"/>
    <x v="1"/>
    <n v="97403"/>
    <x v="2"/>
    <s v="Professional"/>
    <s v="Yes"/>
    <n v="3"/>
    <x v="2"/>
    <x v="2"/>
    <x v="11"/>
    <x v="2"/>
    <x v="0"/>
  </r>
  <r>
    <n v="15"/>
    <x v="0"/>
    <x v="0"/>
    <n v="56958"/>
    <x v="0"/>
    <s v="Skilled Manual"/>
    <s v="Yes"/>
    <n v="1"/>
    <x v="3"/>
    <x v="3"/>
    <x v="12"/>
    <x v="1"/>
    <x v="1"/>
  </r>
  <r>
    <n v="16"/>
    <x v="1"/>
    <x v="0"/>
    <n v="29402"/>
    <x v="3"/>
    <s v="Professional"/>
    <s v="Yes"/>
    <n v="0"/>
    <x v="3"/>
    <x v="0"/>
    <x v="2"/>
    <x v="2"/>
    <x v="0"/>
  </r>
  <r>
    <n v="17"/>
    <x v="0"/>
    <x v="0"/>
    <n v="32178"/>
    <x v="1"/>
    <s v="Skilled Manual"/>
    <s v="No"/>
    <n v="3"/>
    <x v="3"/>
    <x v="1"/>
    <x v="11"/>
    <x v="2"/>
    <x v="0"/>
  </r>
  <r>
    <n v="18"/>
    <x v="1"/>
    <x v="0"/>
    <n v="102847"/>
    <x v="3"/>
    <s v="Professional"/>
    <s v="Yes"/>
    <n v="3"/>
    <x v="0"/>
    <x v="0"/>
    <x v="13"/>
    <x v="3"/>
    <x v="0"/>
  </r>
  <r>
    <n v="19"/>
    <x v="0"/>
    <x v="1"/>
    <n v="35613"/>
    <x v="3"/>
    <s v="Professional"/>
    <s v="No"/>
    <n v="1"/>
    <x v="4"/>
    <x v="1"/>
    <x v="14"/>
    <x v="3"/>
    <x v="0"/>
  </r>
  <r>
    <n v="20"/>
    <x v="1"/>
    <x v="1"/>
    <n v="96681"/>
    <x v="1"/>
    <s v="Skilled Manual"/>
    <s v="Yes"/>
    <n v="2"/>
    <x v="3"/>
    <x v="3"/>
    <x v="13"/>
    <x v="3"/>
    <x v="0"/>
  </r>
  <r>
    <n v="21"/>
    <x v="1"/>
    <x v="0"/>
    <n v="112711"/>
    <x v="0"/>
    <s v="Professional"/>
    <s v="Yes"/>
    <n v="1"/>
    <x v="4"/>
    <x v="1"/>
    <x v="15"/>
    <x v="2"/>
    <x v="0"/>
  </r>
  <r>
    <n v="22"/>
    <x v="0"/>
    <x v="1"/>
    <n v="73719"/>
    <x v="3"/>
    <s v="Management"/>
    <s v="Yes"/>
    <n v="2"/>
    <x v="2"/>
    <x v="3"/>
    <x v="16"/>
    <x v="3"/>
    <x v="1"/>
  </r>
  <r>
    <n v="23"/>
    <x v="1"/>
    <x v="1"/>
    <n v="58062"/>
    <x v="2"/>
    <s v="Skilled Manual"/>
    <s v="No"/>
    <n v="3"/>
    <x v="0"/>
    <x v="1"/>
    <x v="17"/>
    <x v="1"/>
    <x v="0"/>
  </r>
  <r>
    <n v="24"/>
    <x v="0"/>
    <x v="0"/>
    <n v="75536"/>
    <x v="3"/>
    <s v="Professional"/>
    <s v="Yes"/>
    <n v="3"/>
    <x v="2"/>
    <x v="2"/>
    <x v="6"/>
    <x v="3"/>
    <x v="0"/>
  </r>
  <r>
    <n v="25"/>
    <x v="1"/>
    <x v="1"/>
    <n v="24364"/>
    <x v="2"/>
    <s v="Clerical"/>
    <s v="Yes"/>
    <n v="1"/>
    <x v="3"/>
    <x v="2"/>
    <x v="18"/>
    <x v="1"/>
    <x v="0"/>
  </r>
  <r>
    <n v="26"/>
    <x v="0"/>
    <x v="1"/>
    <n v="41727"/>
    <x v="2"/>
    <s v="Manual"/>
    <s v="No"/>
    <n v="3"/>
    <x v="3"/>
    <x v="0"/>
    <x v="19"/>
    <x v="3"/>
    <x v="0"/>
  </r>
  <r>
    <n v="27"/>
    <x v="1"/>
    <x v="1"/>
    <n v="52185"/>
    <x v="0"/>
    <s v="Manual"/>
    <s v="Yes"/>
    <n v="1"/>
    <x v="0"/>
    <x v="3"/>
    <x v="20"/>
    <x v="3"/>
    <x v="0"/>
  </r>
  <r>
    <n v="28"/>
    <x v="0"/>
    <x v="0"/>
    <n v="109473"/>
    <x v="3"/>
    <s v="Manual"/>
    <s v="No"/>
    <n v="1"/>
    <x v="2"/>
    <x v="1"/>
    <x v="17"/>
    <x v="1"/>
    <x v="1"/>
  </r>
  <r>
    <n v="29"/>
    <x v="1"/>
    <x v="1"/>
    <n v="69895"/>
    <x v="0"/>
    <s v="Skilled Manual"/>
    <s v="No"/>
    <n v="2"/>
    <x v="4"/>
    <x v="3"/>
    <x v="3"/>
    <x v="3"/>
    <x v="0"/>
  </r>
  <r>
    <n v="30"/>
    <x v="1"/>
    <x v="0"/>
    <n v="112329"/>
    <x v="2"/>
    <s v="Clerical"/>
    <s v="No"/>
    <n v="3"/>
    <x v="0"/>
    <x v="0"/>
    <x v="21"/>
    <x v="3"/>
    <x v="0"/>
  </r>
  <r>
    <n v="31"/>
    <x v="0"/>
    <x v="0"/>
    <n v="92025"/>
    <x v="1"/>
    <s v="Professional"/>
    <s v="No"/>
    <n v="1"/>
    <x v="1"/>
    <x v="3"/>
    <x v="19"/>
    <x v="3"/>
    <x v="0"/>
  </r>
  <r>
    <n v="32"/>
    <x v="1"/>
    <x v="0"/>
    <n v="99838"/>
    <x v="1"/>
    <s v="Management"/>
    <s v="No"/>
    <n v="1"/>
    <x v="0"/>
    <x v="3"/>
    <x v="22"/>
    <x v="1"/>
    <x v="0"/>
  </r>
  <r>
    <n v="33"/>
    <x v="0"/>
    <x v="1"/>
    <n v="109989"/>
    <x v="1"/>
    <s v="Clerical"/>
    <s v="Yes"/>
    <n v="2"/>
    <x v="2"/>
    <x v="3"/>
    <x v="23"/>
    <x v="3"/>
    <x v="1"/>
  </r>
  <r>
    <n v="34"/>
    <x v="1"/>
    <x v="0"/>
    <n v="36219"/>
    <x v="0"/>
    <s v="Clerical"/>
    <s v="No"/>
    <n v="1"/>
    <x v="0"/>
    <x v="3"/>
    <x v="23"/>
    <x v="3"/>
    <x v="0"/>
  </r>
  <r>
    <n v="35"/>
    <x v="0"/>
    <x v="0"/>
    <n v="57629"/>
    <x v="3"/>
    <s v="Management"/>
    <s v="No"/>
    <n v="3"/>
    <x v="1"/>
    <x v="1"/>
    <x v="15"/>
    <x v="2"/>
    <x v="0"/>
  </r>
  <r>
    <n v="36"/>
    <x v="1"/>
    <x v="1"/>
    <n v="67156"/>
    <x v="3"/>
    <s v="Professional"/>
    <s v="Yes"/>
    <n v="3"/>
    <x v="2"/>
    <x v="0"/>
    <x v="24"/>
    <x v="3"/>
    <x v="0"/>
  </r>
  <r>
    <n v="37"/>
    <x v="0"/>
    <x v="0"/>
    <n v="80643"/>
    <x v="3"/>
    <s v="Management"/>
    <s v="Yes"/>
    <n v="0"/>
    <x v="1"/>
    <x v="0"/>
    <x v="25"/>
    <x v="2"/>
    <x v="0"/>
  </r>
  <r>
    <n v="38"/>
    <x v="0"/>
    <x v="0"/>
    <n v="59204"/>
    <x v="3"/>
    <s v="Skilled Manual"/>
    <s v="No"/>
    <n v="1"/>
    <x v="2"/>
    <x v="3"/>
    <x v="26"/>
    <x v="3"/>
    <x v="1"/>
  </r>
  <r>
    <n v="39"/>
    <x v="0"/>
    <x v="0"/>
    <n v="78285"/>
    <x v="2"/>
    <s v="Clerical"/>
    <s v="Yes"/>
    <n v="3"/>
    <x v="2"/>
    <x v="1"/>
    <x v="24"/>
    <x v="3"/>
    <x v="0"/>
  </r>
  <r>
    <n v="40"/>
    <x v="1"/>
    <x v="0"/>
    <n v="79173"/>
    <x v="1"/>
    <s v="Skilled Manual"/>
    <s v="No"/>
    <n v="3"/>
    <x v="2"/>
    <x v="1"/>
    <x v="27"/>
    <x v="3"/>
    <x v="0"/>
  </r>
  <r>
    <n v="41"/>
    <x v="0"/>
    <x v="1"/>
    <n v="64211"/>
    <x v="0"/>
    <s v="Clerical"/>
    <s v="No"/>
    <n v="2"/>
    <x v="4"/>
    <x v="2"/>
    <x v="28"/>
    <x v="3"/>
    <x v="1"/>
  </r>
  <r>
    <n v="42"/>
    <x v="1"/>
    <x v="1"/>
    <n v="20599"/>
    <x v="0"/>
    <s v="Skilled Manual"/>
    <s v="No"/>
    <n v="2"/>
    <x v="4"/>
    <x v="3"/>
    <x v="14"/>
    <x v="3"/>
    <x v="0"/>
  </r>
  <r>
    <n v="43"/>
    <x v="2"/>
    <x v="0"/>
    <n v="42594"/>
    <x v="1"/>
    <s v="Management"/>
    <s v="Yes"/>
    <n v="0"/>
    <x v="3"/>
    <x v="2"/>
    <x v="17"/>
    <x v="1"/>
    <x v="0"/>
  </r>
  <r>
    <n v="44"/>
    <x v="0"/>
    <x v="1"/>
    <n v="58484"/>
    <x v="1"/>
    <s v="Management"/>
    <s v="Yes"/>
    <n v="0"/>
    <x v="4"/>
    <x v="2"/>
    <x v="7"/>
    <x v="1"/>
    <x v="1"/>
  </r>
  <r>
    <n v="45"/>
    <x v="1"/>
    <x v="1"/>
    <n v="29757"/>
    <x v="0"/>
    <s v="Skilled Manual"/>
    <s v="Yes"/>
    <n v="0"/>
    <x v="0"/>
    <x v="1"/>
    <x v="9"/>
    <x v="3"/>
    <x v="0"/>
  </r>
  <r>
    <n v="46"/>
    <x v="0"/>
    <x v="0"/>
    <n v="45010"/>
    <x v="1"/>
    <s v="Professional"/>
    <s v="Yes"/>
    <n v="3"/>
    <x v="1"/>
    <x v="2"/>
    <x v="29"/>
    <x v="1"/>
    <x v="0"/>
  </r>
  <r>
    <n v="47"/>
    <x v="0"/>
    <x v="0"/>
    <n v="84175"/>
    <x v="2"/>
    <s v="Professional"/>
    <s v="No"/>
    <n v="3"/>
    <x v="4"/>
    <x v="0"/>
    <x v="13"/>
    <x v="3"/>
    <x v="0"/>
  </r>
  <r>
    <n v="48"/>
    <x v="1"/>
    <x v="0"/>
    <n v="31843"/>
    <x v="0"/>
    <s v="Skilled Manual"/>
    <s v="Yes"/>
    <n v="1"/>
    <x v="3"/>
    <x v="3"/>
    <x v="30"/>
    <x v="3"/>
    <x v="0"/>
  </r>
  <r>
    <n v="49"/>
    <x v="0"/>
    <x v="1"/>
    <n v="43294"/>
    <x v="3"/>
    <s v="Clerical"/>
    <s v="Yes"/>
    <n v="0"/>
    <x v="2"/>
    <x v="3"/>
    <x v="2"/>
    <x v="2"/>
    <x v="0"/>
  </r>
  <r>
    <n v="50"/>
    <x v="0"/>
    <x v="0"/>
    <n v="116554"/>
    <x v="1"/>
    <s v="Professional"/>
    <s v="Yes"/>
    <n v="3"/>
    <x v="0"/>
    <x v="1"/>
    <x v="31"/>
    <x v="3"/>
    <x v="0"/>
  </r>
  <r>
    <n v="51"/>
    <x v="1"/>
    <x v="0"/>
    <n v="83276"/>
    <x v="1"/>
    <s v="Management"/>
    <s v="No"/>
    <n v="2"/>
    <x v="3"/>
    <x v="1"/>
    <x v="22"/>
    <x v="1"/>
    <x v="1"/>
  </r>
  <r>
    <n v="52"/>
    <x v="1"/>
    <x v="1"/>
    <n v="103446"/>
    <x v="3"/>
    <s v="Clerical"/>
    <s v="Yes"/>
    <n v="3"/>
    <x v="2"/>
    <x v="3"/>
    <x v="32"/>
    <x v="1"/>
    <x v="0"/>
  </r>
  <r>
    <n v="53"/>
    <x v="0"/>
    <x v="1"/>
    <n v="87299"/>
    <x v="2"/>
    <s v="Skilled Manual"/>
    <s v="No"/>
    <n v="3"/>
    <x v="0"/>
    <x v="0"/>
    <x v="8"/>
    <x v="1"/>
    <x v="0"/>
  </r>
  <r>
    <n v="54"/>
    <x v="1"/>
    <x v="1"/>
    <n v="109321"/>
    <x v="3"/>
    <s v="Professional"/>
    <s v="Yes"/>
    <n v="3"/>
    <x v="0"/>
    <x v="0"/>
    <x v="14"/>
    <x v="3"/>
    <x v="0"/>
  </r>
  <r>
    <n v="55"/>
    <x v="0"/>
    <x v="1"/>
    <n v="31722"/>
    <x v="3"/>
    <s v="Clerical"/>
    <s v="No"/>
    <n v="0"/>
    <x v="4"/>
    <x v="0"/>
    <x v="33"/>
    <x v="3"/>
    <x v="0"/>
  </r>
  <r>
    <n v="56"/>
    <x v="1"/>
    <x v="1"/>
    <n v="71361"/>
    <x v="1"/>
    <s v="Clerical"/>
    <s v="No"/>
    <n v="2"/>
    <x v="3"/>
    <x v="2"/>
    <x v="13"/>
    <x v="3"/>
    <x v="0"/>
  </r>
  <r>
    <n v="57"/>
    <x v="1"/>
    <x v="1"/>
    <n v="89986"/>
    <x v="2"/>
    <s v="Professional"/>
    <s v="Yes"/>
    <n v="0"/>
    <x v="0"/>
    <x v="1"/>
    <x v="12"/>
    <x v="1"/>
    <x v="0"/>
  </r>
  <r>
    <n v="58"/>
    <x v="0"/>
    <x v="1"/>
    <n v="96665"/>
    <x v="0"/>
    <s v="Management"/>
    <s v="Yes"/>
    <n v="0"/>
    <x v="2"/>
    <x v="2"/>
    <x v="15"/>
    <x v="2"/>
    <x v="0"/>
  </r>
  <r>
    <n v="59"/>
    <x v="1"/>
    <x v="0"/>
    <n v="52588"/>
    <x v="3"/>
    <s v="Management"/>
    <s v="No"/>
    <n v="2"/>
    <x v="1"/>
    <x v="3"/>
    <x v="1"/>
    <x v="1"/>
    <x v="1"/>
  </r>
  <r>
    <n v="60"/>
    <x v="0"/>
    <x v="0"/>
    <n v="95898"/>
    <x v="0"/>
    <s v="Skilled Manual"/>
    <s v="Yes"/>
    <n v="1"/>
    <x v="2"/>
    <x v="1"/>
    <x v="11"/>
    <x v="2"/>
    <x v="0"/>
  </r>
  <r>
    <n v="61"/>
    <x v="1"/>
    <x v="1"/>
    <n v="113303"/>
    <x v="2"/>
    <s v="Management"/>
    <s v="No"/>
    <n v="3"/>
    <x v="4"/>
    <x v="0"/>
    <x v="16"/>
    <x v="3"/>
    <x v="0"/>
  </r>
  <r>
    <n v="62"/>
    <x v="1"/>
    <x v="0"/>
    <n v="26928"/>
    <x v="1"/>
    <s v="Professional"/>
    <s v="Yes"/>
    <n v="1"/>
    <x v="0"/>
    <x v="0"/>
    <x v="8"/>
    <x v="1"/>
    <x v="0"/>
  </r>
  <r>
    <n v="63"/>
    <x v="0"/>
    <x v="0"/>
    <n v="81284"/>
    <x v="0"/>
    <s v="Manual"/>
    <s v="No"/>
    <n v="1"/>
    <x v="3"/>
    <x v="3"/>
    <x v="7"/>
    <x v="1"/>
    <x v="0"/>
  </r>
  <r>
    <n v="64"/>
    <x v="1"/>
    <x v="0"/>
    <n v="93263"/>
    <x v="3"/>
    <s v="Manual"/>
    <s v="Yes"/>
    <n v="3"/>
    <x v="2"/>
    <x v="2"/>
    <x v="13"/>
    <x v="3"/>
    <x v="0"/>
  </r>
  <r>
    <n v="65"/>
    <x v="1"/>
    <x v="0"/>
    <n v="105573"/>
    <x v="2"/>
    <s v="Clerical"/>
    <s v="Yes"/>
    <n v="3"/>
    <x v="3"/>
    <x v="1"/>
    <x v="34"/>
    <x v="3"/>
    <x v="0"/>
  </r>
  <r>
    <n v="66"/>
    <x v="0"/>
    <x v="1"/>
    <n v="26048"/>
    <x v="0"/>
    <s v="Management"/>
    <s v="Yes"/>
    <n v="3"/>
    <x v="1"/>
    <x v="2"/>
    <x v="35"/>
    <x v="3"/>
    <x v="0"/>
  </r>
  <r>
    <n v="67"/>
    <x v="0"/>
    <x v="1"/>
    <n v="72068"/>
    <x v="2"/>
    <s v="Management"/>
    <s v="No"/>
    <n v="0"/>
    <x v="4"/>
    <x v="2"/>
    <x v="23"/>
    <x v="3"/>
    <x v="1"/>
  </r>
  <r>
    <n v="68"/>
    <x v="1"/>
    <x v="1"/>
    <n v="51797"/>
    <x v="1"/>
    <s v="Clerical"/>
    <s v="Yes"/>
    <n v="0"/>
    <x v="0"/>
    <x v="3"/>
    <x v="32"/>
    <x v="1"/>
    <x v="0"/>
  </r>
  <r>
    <n v="69"/>
    <x v="0"/>
    <x v="1"/>
    <n v="49259"/>
    <x v="0"/>
    <s v="Management"/>
    <s v="No"/>
    <n v="1"/>
    <x v="3"/>
    <x v="1"/>
    <x v="0"/>
    <x v="0"/>
    <x v="1"/>
  </r>
  <r>
    <n v="70"/>
    <x v="0"/>
    <x v="0"/>
    <n v="59940"/>
    <x v="0"/>
    <s v="Manual"/>
    <s v="Yes"/>
    <n v="3"/>
    <x v="1"/>
    <x v="2"/>
    <x v="30"/>
    <x v="3"/>
    <x v="0"/>
  </r>
  <r>
    <n v="71"/>
    <x v="0"/>
    <x v="1"/>
    <n v="112233"/>
    <x v="3"/>
    <s v="Manual"/>
    <s v="Yes"/>
    <n v="0"/>
    <x v="3"/>
    <x v="2"/>
    <x v="18"/>
    <x v="1"/>
    <x v="0"/>
  </r>
  <r>
    <n v="72"/>
    <x v="0"/>
    <x v="1"/>
    <n v="64617"/>
    <x v="0"/>
    <s v="Manual"/>
    <s v="No"/>
    <n v="3"/>
    <x v="2"/>
    <x v="0"/>
    <x v="20"/>
    <x v="3"/>
    <x v="0"/>
  </r>
  <r>
    <n v="73"/>
    <x v="1"/>
    <x v="1"/>
    <n v="96355"/>
    <x v="1"/>
    <s v="Management"/>
    <s v="Yes"/>
    <n v="2"/>
    <x v="4"/>
    <x v="1"/>
    <x v="36"/>
    <x v="2"/>
    <x v="0"/>
  </r>
  <r>
    <n v="74"/>
    <x v="0"/>
    <x v="1"/>
    <n v="105897"/>
    <x v="0"/>
    <s v="Manual"/>
    <s v="No"/>
    <n v="0"/>
    <x v="3"/>
    <x v="0"/>
    <x v="8"/>
    <x v="1"/>
    <x v="0"/>
  </r>
  <r>
    <n v="75"/>
    <x v="0"/>
    <x v="0"/>
    <n v="90139"/>
    <x v="3"/>
    <s v="Professional"/>
    <s v="Yes"/>
    <n v="2"/>
    <x v="4"/>
    <x v="3"/>
    <x v="23"/>
    <x v="3"/>
    <x v="0"/>
  </r>
  <r>
    <n v="76"/>
    <x v="1"/>
    <x v="0"/>
    <n v="68407"/>
    <x v="3"/>
    <s v="Manual"/>
    <s v="Yes"/>
    <n v="3"/>
    <x v="3"/>
    <x v="3"/>
    <x v="27"/>
    <x v="3"/>
    <x v="0"/>
  </r>
  <r>
    <n v="77"/>
    <x v="1"/>
    <x v="1"/>
    <n v="108660"/>
    <x v="0"/>
    <s v="Management"/>
    <s v="Yes"/>
    <n v="0"/>
    <x v="2"/>
    <x v="0"/>
    <x v="3"/>
    <x v="3"/>
    <x v="0"/>
  </r>
  <r>
    <n v="78"/>
    <x v="1"/>
    <x v="1"/>
    <n v="40378"/>
    <x v="1"/>
    <s v="Management"/>
    <s v="No"/>
    <n v="2"/>
    <x v="0"/>
    <x v="1"/>
    <x v="13"/>
    <x v="3"/>
    <x v="0"/>
  </r>
  <r>
    <n v="79"/>
    <x v="0"/>
    <x v="1"/>
    <n v="28969"/>
    <x v="1"/>
    <s v="Manual"/>
    <s v="Yes"/>
    <n v="1"/>
    <x v="1"/>
    <x v="0"/>
    <x v="34"/>
    <x v="3"/>
    <x v="0"/>
  </r>
  <r>
    <n v="80"/>
    <x v="1"/>
    <x v="1"/>
    <n v="109936"/>
    <x v="1"/>
    <s v="Manual"/>
    <s v="No"/>
    <n v="0"/>
    <x v="4"/>
    <x v="1"/>
    <x v="7"/>
    <x v="1"/>
    <x v="0"/>
  </r>
  <r>
    <n v="81"/>
    <x v="0"/>
    <x v="0"/>
    <n v="38041"/>
    <x v="2"/>
    <s v="Clerical"/>
    <s v="Yes"/>
    <n v="2"/>
    <x v="2"/>
    <x v="3"/>
    <x v="33"/>
    <x v="3"/>
    <x v="0"/>
  </r>
  <r>
    <n v="82"/>
    <x v="1"/>
    <x v="1"/>
    <n v="35895"/>
    <x v="1"/>
    <s v="Skilled Manual"/>
    <s v="No"/>
    <n v="0"/>
    <x v="4"/>
    <x v="0"/>
    <x v="16"/>
    <x v="3"/>
    <x v="0"/>
  </r>
  <r>
    <n v="83"/>
    <x v="0"/>
    <x v="1"/>
    <n v="87850"/>
    <x v="2"/>
    <s v="Manual"/>
    <s v="No"/>
    <n v="3"/>
    <x v="1"/>
    <x v="0"/>
    <x v="18"/>
    <x v="1"/>
    <x v="0"/>
  </r>
  <r>
    <n v="84"/>
    <x v="0"/>
    <x v="1"/>
    <n v="46440"/>
    <x v="1"/>
    <s v="Clerical"/>
    <s v="No"/>
    <n v="2"/>
    <x v="2"/>
    <x v="2"/>
    <x v="15"/>
    <x v="2"/>
    <x v="0"/>
  </r>
  <r>
    <n v="85"/>
    <x v="1"/>
    <x v="1"/>
    <n v="30466"/>
    <x v="1"/>
    <s v="Clerical"/>
    <s v="Yes"/>
    <n v="0"/>
    <x v="3"/>
    <x v="2"/>
    <x v="37"/>
    <x v="1"/>
    <x v="0"/>
  </r>
  <r>
    <n v="86"/>
    <x v="1"/>
    <x v="0"/>
    <n v="84399"/>
    <x v="2"/>
    <s v="Clerical"/>
    <s v="Yes"/>
    <n v="3"/>
    <x v="0"/>
    <x v="2"/>
    <x v="26"/>
    <x v="3"/>
    <x v="0"/>
  </r>
  <r>
    <n v="87"/>
    <x v="1"/>
    <x v="1"/>
    <n v="25983"/>
    <x v="1"/>
    <s v="Professional"/>
    <s v="No"/>
    <n v="1"/>
    <x v="1"/>
    <x v="1"/>
    <x v="3"/>
    <x v="3"/>
    <x v="0"/>
  </r>
  <r>
    <n v="88"/>
    <x v="0"/>
    <x v="0"/>
    <n v="26384"/>
    <x v="3"/>
    <s v="Professional"/>
    <s v="Yes"/>
    <n v="0"/>
    <x v="1"/>
    <x v="1"/>
    <x v="12"/>
    <x v="1"/>
    <x v="0"/>
  </r>
  <r>
    <n v="89"/>
    <x v="1"/>
    <x v="1"/>
    <n v="48554"/>
    <x v="0"/>
    <s v="Manual"/>
    <s v="No"/>
    <n v="1"/>
    <x v="3"/>
    <x v="2"/>
    <x v="32"/>
    <x v="1"/>
    <x v="1"/>
  </r>
  <r>
    <n v="90"/>
    <x v="0"/>
    <x v="1"/>
    <n v="23265"/>
    <x v="1"/>
    <s v="Professional"/>
    <s v="Yes"/>
    <n v="1"/>
    <x v="3"/>
    <x v="1"/>
    <x v="0"/>
    <x v="0"/>
    <x v="0"/>
  </r>
  <r>
    <n v="91"/>
    <x v="1"/>
    <x v="0"/>
    <n v="49508"/>
    <x v="3"/>
    <s v="Skilled Manual"/>
    <s v="Yes"/>
    <n v="3"/>
    <x v="2"/>
    <x v="0"/>
    <x v="31"/>
    <x v="3"/>
    <x v="0"/>
  </r>
  <r>
    <n v="92"/>
    <x v="1"/>
    <x v="0"/>
    <n v="34872"/>
    <x v="1"/>
    <s v="Professional"/>
    <s v="No"/>
    <n v="1"/>
    <x v="2"/>
    <x v="2"/>
    <x v="25"/>
    <x v="2"/>
    <x v="0"/>
  </r>
  <r>
    <n v="93"/>
    <x v="1"/>
    <x v="0"/>
    <n v="57387"/>
    <x v="1"/>
    <s v="Skilled Manual"/>
    <s v="Yes"/>
    <n v="3"/>
    <x v="4"/>
    <x v="2"/>
    <x v="13"/>
    <x v="3"/>
    <x v="0"/>
  </r>
  <r>
    <n v="94"/>
    <x v="0"/>
    <x v="1"/>
    <n v="78113"/>
    <x v="3"/>
    <s v="Clerical"/>
    <s v="No"/>
    <n v="3"/>
    <x v="1"/>
    <x v="3"/>
    <x v="3"/>
    <x v="3"/>
    <x v="0"/>
  </r>
  <r>
    <n v="95"/>
    <x v="1"/>
    <x v="1"/>
    <n v="114750"/>
    <x v="3"/>
    <s v="Manual"/>
    <s v="No"/>
    <n v="3"/>
    <x v="2"/>
    <x v="3"/>
    <x v="35"/>
    <x v="3"/>
    <x v="0"/>
  </r>
  <r>
    <n v="96"/>
    <x v="1"/>
    <x v="0"/>
    <n v="26389"/>
    <x v="2"/>
    <s v="Skilled Manual"/>
    <s v="Yes"/>
    <n v="0"/>
    <x v="3"/>
    <x v="2"/>
    <x v="6"/>
    <x v="3"/>
    <x v="0"/>
  </r>
  <r>
    <n v="97"/>
    <x v="0"/>
    <x v="0"/>
    <n v="27751"/>
    <x v="1"/>
    <s v="Manual"/>
    <s v="No"/>
    <n v="3"/>
    <x v="1"/>
    <x v="3"/>
    <x v="10"/>
    <x v="3"/>
    <x v="0"/>
  </r>
  <r>
    <n v="98"/>
    <x v="1"/>
    <x v="0"/>
    <n v="39998"/>
    <x v="1"/>
    <s v="Clerical"/>
    <s v="No"/>
    <n v="3"/>
    <x v="0"/>
    <x v="0"/>
    <x v="0"/>
    <x v="0"/>
    <x v="0"/>
  </r>
  <r>
    <n v="99"/>
    <x v="0"/>
    <x v="1"/>
    <n v="36394"/>
    <x v="2"/>
    <s v="Manual"/>
    <s v="Yes"/>
    <n v="2"/>
    <x v="1"/>
    <x v="0"/>
    <x v="34"/>
    <x v="3"/>
    <x v="0"/>
  </r>
  <r>
    <n v="100"/>
    <x v="1"/>
    <x v="1"/>
    <n v="36143"/>
    <x v="1"/>
    <s v="Skilled Manual"/>
    <s v="No"/>
    <n v="1"/>
    <x v="4"/>
    <x v="0"/>
    <x v="29"/>
    <x v="1"/>
    <x v="0"/>
  </r>
  <r>
    <n v="101"/>
    <x v="0"/>
    <x v="0"/>
    <n v="108662"/>
    <x v="1"/>
    <s v="Clerical"/>
    <s v="Yes"/>
    <n v="0"/>
    <x v="4"/>
    <x v="1"/>
    <x v="9"/>
    <x v="3"/>
    <x v="0"/>
  </r>
  <r>
    <n v="102"/>
    <x v="1"/>
    <x v="1"/>
    <n v="79619"/>
    <x v="3"/>
    <s v="Professional"/>
    <s v="No"/>
    <n v="1"/>
    <x v="2"/>
    <x v="3"/>
    <x v="11"/>
    <x v="2"/>
    <x v="0"/>
  </r>
  <r>
    <n v="103"/>
    <x v="0"/>
    <x v="0"/>
    <n v="115195"/>
    <x v="3"/>
    <s v="Management"/>
    <s v="No"/>
    <n v="1"/>
    <x v="4"/>
    <x v="3"/>
    <x v="27"/>
    <x v="3"/>
    <x v="0"/>
  </r>
  <r>
    <n v="104"/>
    <x v="1"/>
    <x v="1"/>
    <n v="95622"/>
    <x v="1"/>
    <s v="Manual"/>
    <s v="Yes"/>
    <n v="1"/>
    <x v="1"/>
    <x v="1"/>
    <x v="32"/>
    <x v="1"/>
    <x v="0"/>
  </r>
  <r>
    <n v="105"/>
    <x v="0"/>
    <x v="0"/>
    <n v="91720"/>
    <x v="3"/>
    <s v="Professional"/>
    <s v="Yes"/>
    <n v="1"/>
    <x v="0"/>
    <x v="3"/>
    <x v="24"/>
    <x v="3"/>
    <x v="1"/>
  </r>
  <r>
    <n v="106"/>
    <x v="0"/>
    <x v="0"/>
    <n v="105552"/>
    <x v="1"/>
    <s v="Management"/>
    <s v="Yes"/>
    <n v="3"/>
    <x v="2"/>
    <x v="2"/>
    <x v="4"/>
    <x v="3"/>
    <x v="0"/>
  </r>
  <r>
    <n v="107"/>
    <x v="1"/>
    <x v="0"/>
    <n v="62744"/>
    <x v="3"/>
    <s v="Skilled Manual"/>
    <s v="Yes"/>
    <n v="2"/>
    <x v="2"/>
    <x v="2"/>
    <x v="38"/>
    <x v="1"/>
    <x v="1"/>
  </r>
  <r>
    <n v="108"/>
    <x v="0"/>
    <x v="0"/>
    <n v="109198"/>
    <x v="0"/>
    <s v="Manual"/>
    <s v="Yes"/>
    <n v="0"/>
    <x v="0"/>
    <x v="2"/>
    <x v="3"/>
    <x v="3"/>
    <x v="0"/>
  </r>
  <r>
    <n v="109"/>
    <x v="0"/>
    <x v="0"/>
    <n v="22110"/>
    <x v="3"/>
    <s v="Manual"/>
    <s v="No"/>
    <n v="3"/>
    <x v="0"/>
    <x v="0"/>
    <x v="0"/>
    <x v="0"/>
    <x v="0"/>
  </r>
  <r>
    <n v="110"/>
    <x v="0"/>
    <x v="1"/>
    <n v="57280"/>
    <x v="0"/>
    <s v="Management"/>
    <s v="No"/>
    <n v="0"/>
    <x v="4"/>
    <x v="2"/>
    <x v="18"/>
    <x v="1"/>
    <x v="1"/>
  </r>
  <r>
    <n v="111"/>
    <x v="0"/>
    <x v="0"/>
    <n v="33551"/>
    <x v="2"/>
    <s v="Clerical"/>
    <s v="Yes"/>
    <n v="0"/>
    <x v="3"/>
    <x v="1"/>
    <x v="28"/>
    <x v="3"/>
    <x v="0"/>
  </r>
  <r>
    <n v="112"/>
    <x v="0"/>
    <x v="0"/>
    <n v="94503"/>
    <x v="3"/>
    <s v="Professional"/>
    <s v="Yes"/>
    <n v="3"/>
    <x v="2"/>
    <x v="2"/>
    <x v="24"/>
    <x v="3"/>
    <x v="0"/>
  </r>
  <r>
    <n v="113"/>
    <x v="0"/>
    <x v="0"/>
    <n v="58920"/>
    <x v="1"/>
    <s v="Skilled Manual"/>
    <s v="Yes"/>
    <n v="3"/>
    <x v="2"/>
    <x v="0"/>
    <x v="28"/>
    <x v="3"/>
    <x v="0"/>
  </r>
  <r>
    <n v="114"/>
    <x v="1"/>
    <x v="0"/>
    <n v="72679"/>
    <x v="0"/>
    <s v="Clerical"/>
    <s v="No"/>
    <n v="2"/>
    <x v="3"/>
    <x v="1"/>
    <x v="19"/>
    <x v="3"/>
    <x v="0"/>
  </r>
  <r>
    <n v="115"/>
    <x v="1"/>
    <x v="0"/>
    <n v="33598"/>
    <x v="1"/>
    <s v="Manual"/>
    <s v="No"/>
    <n v="1"/>
    <x v="0"/>
    <x v="3"/>
    <x v="3"/>
    <x v="3"/>
    <x v="0"/>
  </r>
  <r>
    <n v="116"/>
    <x v="1"/>
    <x v="1"/>
    <n v="77332"/>
    <x v="3"/>
    <s v="Professional"/>
    <s v="No"/>
    <n v="2"/>
    <x v="3"/>
    <x v="3"/>
    <x v="15"/>
    <x v="2"/>
    <x v="0"/>
  </r>
  <r>
    <n v="117"/>
    <x v="1"/>
    <x v="1"/>
    <n v="99437"/>
    <x v="3"/>
    <s v="Management"/>
    <s v="Yes"/>
    <n v="2"/>
    <x v="1"/>
    <x v="1"/>
    <x v="29"/>
    <x v="1"/>
    <x v="0"/>
  </r>
  <r>
    <n v="118"/>
    <x v="1"/>
    <x v="0"/>
    <n v="61295"/>
    <x v="0"/>
    <s v="Professional"/>
    <s v="Yes"/>
    <n v="3"/>
    <x v="4"/>
    <x v="1"/>
    <x v="39"/>
    <x v="1"/>
    <x v="0"/>
  </r>
  <r>
    <n v="119"/>
    <x v="1"/>
    <x v="1"/>
    <n v="71188"/>
    <x v="2"/>
    <s v="Skilled Manual"/>
    <s v="Yes"/>
    <n v="0"/>
    <x v="2"/>
    <x v="2"/>
    <x v="14"/>
    <x v="3"/>
    <x v="0"/>
  </r>
  <r>
    <n v="120"/>
    <x v="1"/>
    <x v="0"/>
    <n v="33890"/>
    <x v="0"/>
    <s v="Professional"/>
    <s v="Yes"/>
    <n v="2"/>
    <x v="3"/>
    <x v="1"/>
    <x v="3"/>
    <x v="3"/>
    <x v="0"/>
  </r>
  <r>
    <n v="121"/>
    <x v="1"/>
    <x v="0"/>
    <n v="51029"/>
    <x v="1"/>
    <s v="Professional"/>
    <s v="No"/>
    <n v="1"/>
    <x v="4"/>
    <x v="1"/>
    <x v="40"/>
    <x v="3"/>
    <x v="0"/>
  </r>
  <r>
    <n v="122"/>
    <x v="0"/>
    <x v="0"/>
    <n v="85819"/>
    <x v="1"/>
    <s v="Professional"/>
    <s v="No"/>
    <n v="3"/>
    <x v="2"/>
    <x v="3"/>
    <x v="7"/>
    <x v="1"/>
    <x v="0"/>
  </r>
  <r>
    <n v="123"/>
    <x v="0"/>
    <x v="1"/>
    <n v="45383"/>
    <x v="3"/>
    <s v="Management"/>
    <s v="Yes"/>
    <n v="3"/>
    <x v="2"/>
    <x v="2"/>
    <x v="1"/>
    <x v="1"/>
    <x v="0"/>
  </r>
  <r>
    <n v="124"/>
    <x v="0"/>
    <x v="0"/>
    <n v="117336"/>
    <x v="1"/>
    <s v="Skilled Manual"/>
    <s v="No"/>
    <n v="3"/>
    <x v="0"/>
    <x v="1"/>
    <x v="16"/>
    <x v="3"/>
    <x v="0"/>
  </r>
  <r>
    <n v="125"/>
    <x v="0"/>
    <x v="0"/>
    <n v="33770"/>
    <x v="0"/>
    <s v="Skilled Manual"/>
    <s v="Yes"/>
    <n v="2"/>
    <x v="2"/>
    <x v="2"/>
    <x v="33"/>
    <x v="3"/>
    <x v="0"/>
  </r>
  <r>
    <n v="126"/>
    <x v="0"/>
    <x v="1"/>
    <n v="113000"/>
    <x v="2"/>
    <s v="Skilled Manual"/>
    <s v="Yes"/>
    <n v="1"/>
    <x v="1"/>
    <x v="2"/>
    <x v="39"/>
    <x v="1"/>
    <x v="1"/>
  </r>
  <r>
    <n v="127"/>
    <x v="0"/>
    <x v="0"/>
    <n v="85012"/>
    <x v="3"/>
    <s v="Skilled Manual"/>
    <s v="Yes"/>
    <n v="1"/>
    <x v="1"/>
    <x v="2"/>
    <x v="13"/>
    <x v="3"/>
    <x v="0"/>
  </r>
  <r>
    <n v="128"/>
    <x v="0"/>
    <x v="1"/>
    <n v="70409"/>
    <x v="3"/>
    <s v="Clerical"/>
    <s v="Yes"/>
    <n v="0"/>
    <x v="4"/>
    <x v="2"/>
    <x v="16"/>
    <x v="3"/>
    <x v="0"/>
  </r>
  <r>
    <n v="129"/>
    <x v="0"/>
    <x v="0"/>
    <n v="86446"/>
    <x v="0"/>
    <s v="Professional"/>
    <s v="No"/>
    <n v="0"/>
    <x v="4"/>
    <x v="3"/>
    <x v="39"/>
    <x v="1"/>
    <x v="1"/>
  </r>
  <r>
    <n v="130"/>
    <x v="0"/>
    <x v="0"/>
    <n v="42620"/>
    <x v="0"/>
    <s v="Manual"/>
    <s v="Yes"/>
    <n v="1"/>
    <x v="1"/>
    <x v="1"/>
    <x v="35"/>
    <x v="3"/>
    <x v="0"/>
  </r>
  <r>
    <n v="131"/>
    <x v="1"/>
    <x v="0"/>
    <n v="32846"/>
    <x v="3"/>
    <s v="Professional"/>
    <s v="No"/>
    <n v="0"/>
    <x v="4"/>
    <x v="2"/>
    <x v="2"/>
    <x v="2"/>
    <x v="0"/>
  </r>
  <r>
    <n v="132"/>
    <x v="1"/>
    <x v="0"/>
    <n v="23559"/>
    <x v="2"/>
    <s v="Professional"/>
    <s v="No"/>
    <n v="3"/>
    <x v="1"/>
    <x v="1"/>
    <x v="25"/>
    <x v="2"/>
    <x v="0"/>
  </r>
  <r>
    <n v="133"/>
    <x v="0"/>
    <x v="0"/>
    <n v="49182"/>
    <x v="2"/>
    <s v="Skilled Manual"/>
    <s v="Yes"/>
    <n v="2"/>
    <x v="3"/>
    <x v="3"/>
    <x v="14"/>
    <x v="3"/>
    <x v="0"/>
  </r>
  <r>
    <n v="134"/>
    <x v="0"/>
    <x v="0"/>
    <n v="32926"/>
    <x v="2"/>
    <s v="Manual"/>
    <s v="No"/>
    <n v="0"/>
    <x v="0"/>
    <x v="2"/>
    <x v="16"/>
    <x v="3"/>
    <x v="0"/>
  </r>
  <r>
    <n v="135"/>
    <x v="1"/>
    <x v="1"/>
    <n v="115468"/>
    <x v="1"/>
    <s v="Skilled Manual"/>
    <s v="Yes"/>
    <n v="3"/>
    <x v="2"/>
    <x v="0"/>
    <x v="33"/>
    <x v="3"/>
    <x v="0"/>
  </r>
  <r>
    <n v="136"/>
    <x v="0"/>
    <x v="1"/>
    <n v="38617"/>
    <x v="2"/>
    <s v="Skilled Manual"/>
    <s v="No"/>
    <n v="3"/>
    <x v="2"/>
    <x v="1"/>
    <x v="27"/>
    <x v="3"/>
    <x v="0"/>
  </r>
  <r>
    <n v="137"/>
    <x v="0"/>
    <x v="0"/>
    <n v="82838"/>
    <x v="2"/>
    <s v="Manual"/>
    <s v="No"/>
    <n v="1"/>
    <x v="2"/>
    <x v="2"/>
    <x v="14"/>
    <x v="3"/>
    <x v="0"/>
  </r>
  <r>
    <n v="138"/>
    <x v="1"/>
    <x v="0"/>
    <n v="78819"/>
    <x v="1"/>
    <s v="Professional"/>
    <s v="No"/>
    <n v="1"/>
    <x v="1"/>
    <x v="3"/>
    <x v="12"/>
    <x v="1"/>
    <x v="1"/>
  </r>
  <r>
    <n v="139"/>
    <x v="0"/>
    <x v="1"/>
    <n v="114721"/>
    <x v="2"/>
    <s v="Manual"/>
    <s v="No"/>
    <n v="3"/>
    <x v="2"/>
    <x v="2"/>
    <x v="41"/>
    <x v="1"/>
    <x v="0"/>
  </r>
  <r>
    <n v="140"/>
    <x v="0"/>
    <x v="1"/>
    <n v="39018"/>
    <x v="1"/>
    <s v="Clerical"/>
    <s v="No"/>
    <n v="3"/>
    <x v="1"/>
    <x v="3"/>
    <x v="17"/>
    <x v="1"/>
    <x v="0"/>
  </r>
  <r>
    <n v="141"/>
    <x v="0"/>
    <x v="0"/>
    <n v="75634"/>
    <x v="2"/>
    <s v="Clerical"/>
    <s v="Yes"/>
    <n v="1"/>
    <x v="3"/>
    <x v="1"/>
    <x v="7"/>
    <x v="1"/>
    <x v="0"/>
  </r>
  <r>
    <n v="142"/>
    <x v="0"/>
    <x v="0"/>
    <n v="115630"/>
    <x v="2"/>
    <s v="Manual"/>
    <s v="No"/>
    <n v="2"/>
    <x v="2"/>
    <x v="3"/>
    <x v="41"/>
    <x v="1"/>
    <x v="0"/>
  </r>
  <r>
    <n v="143"/>
    <x v="0"/>
    <x v="0"/>
    <n v="30016"/>
    <x v="3"/>
    <s v="Manual"/>
    <s v="Yes"/>
    <n v="0"/>
    <x v="0"/>
    <x v="3"/>
    <x v="9"/>
    <x v="3"/>
    <x v="0"/>
  </r>
  <r>
    <n v="144"/>
    <x v="0"/>
    <x v="0"/>
    <n v="103652"/>
    <x v="0"/>
    <s v="Clerical"/>
    <s v="No"/>
    <n v="0"/>
    <x v="3"/>
    <x v="3"/>
    <x v="26"/>
    <x v="3"/>
    <x v="0"/>
  </r>
  <r>
    <n v="145"/>
    <x v="0"/>
    <x v="1"/>
    <n v="39919"/>
    <x v="0"/>
    <s v="Management"/>
    <s v="Yes"/>
    <n v="1"/>
    <x v="4"/>
    <x v="2"/>
    <x v="8"/>
    <x v="1"/>
    <x v="0"/>
  </r>
  <r>
    <n v="146"/>
    <x v="0"/>
    <x v="1"/>
    <n v="88950"/>
    <x v="0"/>
    <s v="Skilled Manual"/>
    <s v="Yes"/>
    <n v="2"/>
    <x v="1"/>
    <x v="1"/>
    <x v="25"/>
    <x v="2"/>
    <x v="0"/>
  </r>
  <r>
    <n v="147"/>
    <x v="0"/>
    <x v="1"/>
    <n v="118254"/>
    <x v="0"/>
    <s v="Clerical"/>
    <s v="No"/>
    <n v="0"/>
    <x v="4"/>
    <x v="3"/>
    <x v="1"/>
    <x v="1"/>
    <x v="1"/>
  </r>
  <r>
    <n v="148"/>
    <x v="0"/>
    <x v="0"/>
    <n v="31080"/>
    <x v="0"/>
    <s v="Professional"/>
    <s v="Yes"/>
    <n v="3"/>
    <x v="1"/>
    <x v="3"/>
    <x v="40"/>
    <x v="3"/>
    <x v="0"/>
  </r>
  <r>
    <n v="149"/>
    <x v="0"/>
    <x v="0"/>
    <n v="33363"/>
    <x v="0"/>
    <s v="Manual"/>
    <s v="Yes"/>
    <n v="3"/>
    <x v="4"/>
    <x v="1"/>
    <x v="21"/>
    <x v="3"/>
    <x v="0"/>
  </r>
  <r>
    <n v="150"/>
    <x v="0"/>
    <x v="0"/>
    <n v="26341"/>
    <x v="0"/>
    <s v="Manual"/>
    <s v="No"/>
    <n v="3"/>
    <x v="3"/>
    <x v="0"/>
    <x v="2"/>
    <x v="2"/>
    <x v="0"/>
  </r>
  <r>
    <n v="151"/>
    <x v="0"/>
    <x v="1"/>
    <n v="106682"/>
    <x v="1"/>
    <s v="Management"/>
    <s v="Yes"/>
    <n v="0"/>
    <x v="3"/>
    <x v="2"/>
    <x v="21"/>
    <x v="3"/>
    <x v="0"/>
  </r>
  <r>
    <n v="152"/>
    <x v="0"/>
    <x v="1"/>
    <n v="51121"/>
    <x v="0"/>
    <s v="Manual"/>
    <s v="Yes"/>
    <n v="2"/>
    <x v="2"/>
    <x v="3"/>
    <x v="17"/>
    <x v="1"/>
    <x v="0"/>
  </r>
  <r>
    <n v="153"/>
    <x v="0"/>
    <x v="0"/>
    <n v="76894"/>
    <x v="1"/>
    <s v="Management"/>
    <s v="Yes"/>
    <n v="3"/>
    <x v="0"/>
    <x v="1"/>
    <x v="29"/>
    <x v="1"/>
    <x v="0"/>
  </r>
  <r>
    <n v="154"/>
    <x v="0"/>
    <x v="0"/>
    <n v="97171"/>
    <x v="1"/>
    <s v="Management"/>
    <s v="Yes"/>
    <n v="3"/>
    <x v="1"/>
    <x v="2"/>
    <x v="42"/>
    <x v="3"/>
    <x v="0"/>
  </r>
  <r>
    <n v="155"/>
    <x v="0"/>
    <x v="1"/>
    <n v="100988"/>
    <x v="3"/>
    <s v="Management"/>
    <s v="Yes"/>
    <n v="3"/>
    <x v="4"/>
    <x v="1"/>
    <x v="1"/>
    <x v="1"/>
    <x v="0"/>
  </r>
  <r>
    <n v="156"/>
    <x v="0"/>
    <x v="0"/>
    <n v="80729"/>
    <x v="3"/>
    <s v="Clerical"/>
    <s v="No"/>
    <n v="1"/>
    <x v="0"/>
    <x v="2"/>
    <x v="32"/>
    <x v="1"/>
    <x v="1"/>
  </r>
  <r>
    <n v="157"/>
    <x v="0"/>
    <x v="1"/>
    <n v="104059"/>
    <x v="2"/>
    <s v="Clerical"/>
    <s v="No"/>
    <n v="1"/>
    <x v="2"/>
    <x v="1"/>
    <x v="3"/>
    <x v="3"/>
    <x v="0"/>
  </r>
  <r>
    <n v="158"/>
    <x v="0"/>
    <x v="1"/>
    <n v="83283"/>
    <x v="0"/>
    <s v="Management"/>
    <s v="No"/>
    <n v="0"/>
    <x v="4"/>
    <x v="3"/>
    <x v="42"/>
    <x v="3"/>
    <x v="0"/>
  </r>
  <r>
    <n v="159"/>
    <x v="0"/>
    <x v="0"/>
    <n v="93820"/>
    <x v="1"/>
    <s v="Professional"/>
    <s v="Yes"/>
    <n v="0"/>
    <x v="2"/>
    <x v="1"/>
    <x v="28"/>
    <x v="3"/>
    <x v="1"/>
  </r>
  <r>
    <n v="160"/>
    <x v="0"/>
    <x v="0"/>
    <n v="25897"/>
    <x v="0"/>
    <s v="Skilled Manual"/>
    <s v="Yes"/>
    <n v="0"/>
    <x v="3"/>
    <x v="2"/>
    <x v="39"/>
    <x v="1"/>
    <x v="0"/>
  </r>
  <r>
    <n v="161"/>
    <x v="0"/>
    <x v="0"/>
    <n v="88270"/>
    <x v="0"/>
    <s v="Skilled Manual"/>
    <s v="No"/>
    <n v="2"/>
    <x v="2"/>
    <x v="1"/>
    <x v="15"/>
    <x v="2"/>
    <x v="0"/>
  </r>
  <r>
    <n v="162"/>
    <x v="0"/>
    <x v="1"/>
    <n v="86785"/>
    <x v="0"/>
    <s v="Professional"/>
    <s v="Yes"/>
    <n v="0"/>
    <x v="0"/>
    <x v="2"/>
    <x v="39"/>
    <x v="1"/>
    <x v="1"/>
  </r>
  <r>
    <n v="163"/>
    <x v="0"/>
    <x v="0"/>
    <n v="41038"/>
    <x v="1"/>
    <s v="Professional"/>
    <s v="No"/>
    <n v="1"/>
    <x v="1"/>
    <x v="2"/>
    <x v="41"/>
    <x v="1"/>
    <x v="0"/>
  </r>
  <r>
    <n v="164"/>
    <x v="1"/>
    <x v="0"/>
    <n v="116426"/>
    <x v="3"/>
    <s v="Skilled Manual"/>
    <s v="No"/>
    <n v="2"/>
    <x v="1"/>
    <x v="2"/>
    <x v="13"/>
    <x v="3"/>
    <x v="0"/>
  </r>
  <r>
    <n v="165"/>
    <x v="0"/>
    <x v="0"/>
    <n v="114407"/>
    <x v="3"/>
    <s v="Skilled Manual"/>
    <s v="Yes"/>
    <n v="1"/>
    <x v="3"/>
    <x v="3"/>
    <x v="38"/>
    <x v="1"/>
    <x v="1"/>
  </r>
  <r>
    <n v="166"/>
    <x v="0"/>
    <x v="0"/>
    <n v="36236"/>
    <x v="3"/>
    <s v="Skilled Manual"/>
    <s v="Yes"/>
    <n v="0"/>
    <x v="3"/>
    <x v="1"/>
    <x v="16"/>
    <x v="3"/>
    <x v="0"/>
  </r>
  <r>
    <n v="167"/>
    <x v="1"/>
    <x v="1"/>
    <n v="82544"/>
    <x v="3"/>
    <s v="Management"/>
    <s v="Yes"/>
    <n v="3"/>
    <x v="2"/>
    <x v="0"/>
    <x v="1"/>
    <x v="1"/>
    <x v="0"/>
  </r>
  <r>
    <n v="168"/>
    <x v="0"/>
    <x v="0"/>
    <n v="84131"/>
    <x v="2"/>
    <s v="Management"/>
    <s v="No"/>
    <n v="1"/>
    <x v="4"/>
    <x v="3"/>
    <x v="4"/>
    <x v="3"/>
    <x v="0"/>
  </r>
  <r>
    <n v="169"/>
    <x v="0"/>
    <x v="0"/>
    <n v="88669"/>
    <x v="2"/>
    <s v="Management"/>
    <s v="No"/>
    <n v="2"/>
    <x v="4"/>
    <x v="0"/>
    <x v="13"/>
    <x v="3"/>
    <x v="0"/>
  </r>
  <r>
    <n v="170"/>
    <x v="0"/>
    <x v="1"/>
    <n v="61544"/>
    <x v="0"/>
    <s v="Management"/>
    <s v="No"/>
    <n v="0"/>
    <x v="3"/>
    <x v="1"/>
    <x v="11"/>
    <x v="2"/>
    <x v="0"/>
  </r>
  <r>
    <n v="171"/>
    <x v="0"/>
    <x v="0"/>
    <n v="32412"/>
    <x v="2"/>
    <s v="Manual"/>
    <s v="No"/>
    <n v="0"/>
    <x v="3"/>
    <x v="2"/>
    <x v="19"/>
    <x v="3"/>
    <x v="0"/>
  </r>
  <r>
    <n v="172"/>
    <x v="0"/>
    <x v="1"/>
    <n v="81556"/>
    <x v="2"/>
    <s v="Clerical"/>
    <s v="No"/>
    <n v="1"/>
    <x v="1"/>
    <x v="2"/>
    <x v="37"/>
    <x v="1"/>
    <x v="1"/>
  </r>
  <r>
    <n v="173"/>
    <x v="0"/>
    <x v="1"/>
    <n v="102450"/>
    <x v="1"/>
    <s v="Clerical"/>
    <s v="Yes"/>
    <n v="2"/>
    <x v="1"/>
    <x v="2"/>
    <x v="18"/>
    <x v="1"/>
    <x v="0"/>
  </r>
  <r>
    <n v="174"/>
    <x v="0"/>
    <x v="0"/>
    <n v="85584"/>
    <x v="2"/>
    <s v="Manual"/>
    <s v="No"/>
    <n v="0"/>
    <x v="0"/>
    <x v="3"/>
    <x v="30"/>
    <x v="3"/>
    <x v="1"/>
  </r>
  <r>
    <n v="175"/>
    <x v="1"/>
    <x v="1"/>
    <n v="110272"/>
    <x v="2"/>
    <s v="Clerical"/>
    <s v="Yes"/>
    <n v="0"/>
    <x v="1"/>
    <x v="1"/>
    <x v="0"/>
    <x v="0"/>
    <x v="0"/>
  </r>
  <r>
    <n v="176"/>
    <x v="0"/>
    <x v="0"/>
    <n v="111069"/>
    <x v="2"/>
    <s v="Professional"/>
    <s v="No"/>
    <n v="0"/>
    <x v="0"/>
    <x v="0"/>
    <x v="13"/>
    <x v="3"/>
    <x v="0"/>
  </r>
  <r>
    <n v="177"/>
    <x v="0"/>
    <x v="1"/>
    <n v="85179"/>
    <x v="2"/>
    <s v="Management"/>
    <s v="No"/>
    <n v="3"/>
    <x v="3"/>
    <x v="0"/>
    <x v="21"/>
    <x v="3"/>
    <x v="0"/>
  </r>
  <r>
    <n v="178"/>
    <x v="1"/>
    <x v="1"/>
    <n v="91252"/>
    <x v="2"/>
    <s v="Management"/>
    <s v="Yes"/>
    <n v="2"/>
    <x v="3"/>
    <x v="1"/>
    <x v="4"/>
    <x v="3"/>
    <x v="1"/>
  </r>
  <r>
    <n v="179"/>
    <x v="0"/>
    <x v="1"/>
    <n v="113210"/>
    <x v="1"/>
    <s v="Clerical"/>
    <s v="No"/>
    <n v="1"/>
    <x v="4"/>
    <x v="0"/>
    <x v="14"/>
    <x v="3"/>
    <x v="0"/>
  </r>
  <r>
    <n v="180"/>
    <x v="0"/>
    <x v="0"/>
    <n v="110221"/>
    <x v="3"/>
    <s v="Management"/>
    <s v="Yes"/>
    <n v="0"/>
    <x v="4"/>
    <x v="3"/>
    <x v="8"/>
    <x v="1"/>
    <x v="1"/>
  </r>
  <r>
    <n v="181"/>
    <x v="0"/>
    <x v="0"/>
    <n v="81640"/>
    <x v="1"/>
    <s v="Skilled Manual"/>
    <s v="No"/>
    <n v="3"/>
    <x v="0"/>
    <x v="2"/>
    <x v="23"/>
    <x v="3"/>
    <x v="0"/>
  </r>
  <r>
    <n v="182"/>
    <x v="0"/>
    <x v="1"/>
    <n v="99324"/>
    <x v="1"/>
    <s v="Skilled Manual"/>
    <s v="No"/>
    <n v="0"/>
    <x v="3"/>
    <x v="1"/>
    <x v="33"/>
    <x v="3"/>
    <x v="1"/>
  </r>
  <r>
    <n v="183"/>
    <x v="0"/>
    <x v="0"/>
    <n v="76587"/>
    <x v="1"/>
    <s v="Clerical"/>
    <s v="No"/>
    <n v="0"/>
    <x v="1"/>
    <x v="2"/>
    <x v="12"/>
    <x v="1"/>
    <x v="0"/>
  </r>
  <r>
    <n v="184"/>
    <x v="0"/>
    <x v="0"/>
    <n v="66546"/>
    <x v="0"/>
    <s v="Management"/>
    <s v="Yes"/>
    <n v="3"/>
    <x v="2"/>
    <x v="3"/>
    <x v="22"/>
    <x v="1"/>
    <x v="0"/>
  </r>
  <r>
    <n v="185"/>
    <x v="0"/>
    <x v="1"/>
    <n v="43024"/>
    <x v="0"/>
    <s v="Manual"/>
    <s v="No"/>
    <n v="3"/>
    <x v="2"/>
    <x v="3"/>
    <x v="18"/>
    <x v="1"/>
    <x v="0"/>
  </r>
  <r>
    <n v="186"/>
    <x v="0"/>
    <x v="1"/>
    <n v="109918"/>
    <x v="3"/>
    <s v="Skilled Manual"/>
    <s v="No"/>
    <n v="0"/>
    <x v="1"/>
    <x v="2"/>
    <x v="33"/>
    <x v="3"/>
    <x v="1"/>
  </r>
  <r>
    <n v="187"/>
    <x v="1"/>
    <x v="1"/>
    <n v="52527"/>
    <x v="1"/>
    <s v="Skilled Manual"/>
    <s v="Yes"/>
    <n v="2"/>
    <x v="2"/>
    <x v="3"/>
    <x v="15"/>
    <x v="2"/>
    <x v="0"/>
  </r>
  <r>
    <n v="188"/>
    <x v="1"/>
    <x v="0"/>
    <n v="36989"/>
    <x v="2"/>
    <s v="Skilled Manual"/>
    <s v="Yes"/>
    <n v="3"/>
    <x v="1"/>
    <x v="2"/>
    <x v="19"/>
    <x v="3"/>
    <x v="0"/>
  </r>
  <r>
    <n v="189"/>
    <x v="1"/>
    <x v="0"/>
    <n v="75201"/>
    <x v="2"/>
    <s v="Management"/>
    <s v="Yes"/>
    <n v="1"/>
    <x v="1"/>
    <x v="3"/>
    <x v="42"/>
    <x v="3"/>
    <x v="0"/>
  </r>
  <r>
    <n v="190"/>
    <x v="1"/>
    <x v="1"/>
    <n v="70444"/>
    <x v="0"/>
    <s v="Management"/>
    <s v="No"/>
    <n v="3"/>
    <x v="4"/>
    <x v="0"/>
    <x v="28"/>
    <x v="3"/>
    <x v="0"/>
  </r>
  <r>
    <n v="191"/>
    <x v="1"/>
    <x v="0"/>
    <n v="65472"/>
    <x v="3"/>
    <s v="Manual"/>
    <s v="Yes"/>
    <n v="2"/>
    <x v="2"/>
    <x v="0"/>
    <x v="8"/>
    <x v="1"/>
    <x v="0"/>
  </r>
  <r>
    <n v="192"/>
    <x v="1"/>
    <x v="1"/>
    <n v="57925"/>
    <x v="2"/>
    <s v="Skilled Manual"/>
    <s v="No"/>
    <n v="0"/>
    <x v="1"/>
    <x v="3"/>
    <x v="2"/>
    <x v="2"/>
    <x v="0"/>
  </r>
  <r>
    <n v="193"/>
    <x v="1"/>
    <x v="0"/>
    <n v="46686"/>
    <x v="0"/>
    <s v="Management"/>
    <s v="Yes"/>
    <n v="1"/>
    <x v="4"/>
    <x v="0"/>
    <x v="23"/>
    <x v="3"/>
    <x v="0"/>
  </r>
  <r>
    <n v="194"/>
    <x v="1"/>
    <x v="0"/>
    <n v="51554"/>
    <x v="1"/>
    <s v="Manual"/>
    <s v="No"/>
    <n v="1"/>
    <x v="3"/>
    <x v="1"/>
    <x v="17"/>
    <x v="1"/>
    <x v="0"/>
  </r>
  <r>
    <n v="195"/>
    <x v="1"/>
    <x v="0"/>
    <n v="62685"/>
    <x v="3"/>
    <s v="Skilled Manual"/>
    <s v="No"/>
    <n v="0"/>
    <x v="0"/>
    <x v="3"/>
    <x v="19"/>
    <x v="3"/>
    <x v="0"/>
  </r>
  <r>
    <n v="196"/>
    <x v="1"/>
    <x v="1"/>
    <n v="20437"/>
    <x v="2"/>
    <s v="Management"/>
    <s v="No"/>
    <n v="1"/>
    <x v="3"/>
    <x v="0"/>
    <x v="26"/>
    <x v="3"/>
    <x v="0"/>
  </r>
  <r>
    <n v="197"/>
    <x v="0"/>
    <x v="1"/>
    <n v="101014"/>
    <x v="2"/>
    <s v="Clerical"/>
    <s v="No"/>
    <n v="2"/>
    <x v="1"/>
    <x v="1"/>
    <x v="42"/>
    <x v="3"/>
    <x v="0"/>
  </r>
  <r>
    <n v="198"/>
    <x v="0"/>
    <x v="0"/>
    <n v="58754"/>
    <x v="2"/>
    <s v="Management"/>
    <s v="Yes"/>
    <n v="3"/>
    <x v="3"/>
    <x v="2"/>
    <x v="2"/>
    <x v="2"/>
    <x v="0"/>
  </r>
  <r>
    <n v="199"/>
    <x v="0"/>
    <x v="0"/>
    <n v="61082"/>
    <x v="2"/>
    <s v="Manual"/>
    <s v="No"/>
    <n v="3"/>
    <x v="0"/>
    <x v="1"/>
    <x v="27"/>
    <x v="3"/>
    <x v="0"/>
  </r>
  <r>
    <n v="200"/>
    <x v="0"/>
    <x v="1"/>
    <n v="34869"/>
    <x v="3"/>
    <s v="Skilled Manual"/>
    <s v="No"/>
    <n v="2"/>
    <x v="1"/>
    <x v="0"/>
    <x v="19"/>
    <x v="3"/>
    <x v="0"/>
  </r>
  <r>
    <n v="201"/>
    <x v="0"/>
    <x v="0"/>
    <n v="48083"/>
    <x v="0"/>
    <s v="Manual"/>
    <s v="Yes"/>
    <n v="3"/>
    <x v="2"/>
    <x v="1"/>
    <x v="42"/>
    <x v="3"/>
    <x v="0"/>
  </r>
  <r>
    <n v="202"/>
    <x v="0"/>
    <x v="1"/>
    <n v="70483"/>
    <x v="1"/>
    <s v="Professional"/>
    <s v="Yes"/>
    <n v="1"/>
    <x v="3"/>
    <x v="2"/>
    <x v="21"/>
    <x v="3"/>
    <x v="0"/>
  </r>
  <r>
    <n v="203"/>
    <x v="0"/>
    <x v="0"/>
    <n v="70220"/>
    <x v="0"/>
    <s v="Professional"/>
    <s v="No"/>
    <n v="3"/>
    <x v="1"/>
    <x v="3"/>
    <x v="38"/>
    <x v="1"/>
    <x v="0"/>
  </r>
  <r>
    <n v="204"/>
    <x v="0"/>
    <x v="0"/>
    <n v="119769"/>
    <x v="2"/>
    <s v="Clerical"/>
    <s v="No"/>
    <n v="1"/>
    <x v="0"/>
    <x v="1"/>
    <x v="3"/>
    <x v="3"/>
    <x v="0"/>
  </r>
  <r>
    <n v="205"/>
    <x v="0"/>
    <x v="1"/>
    <n v="103452"/>
    <x v="1"/>
    <s v="Management"/>
    <s v="No"/>
    <n v="1"/>
    <x v="4"/>
    <x v="0"/>
    <x v="6"/>
    <x v="3"/>
    <x v="1"/>
  </r>
  <r>
    <n v="206"/>
    <x v="0"/>
    <x v="0"/>
    <n v="22692"/>
    <x v="1"/>
    <s v="Management"/>
    <s v="No"/>
    <n v="0"/>
    <x v="0"/>
    <x v="3"/>
    <x v="28"/>
    <x v="3"/>
    <x v="0"/>
  </r>
  <r>
    <n v="207"/>
    <x v="0"/>
    <x v="1"/>
    <n v="45598"/>
    <x v="3"/>
    <s v="Skilled Manual"/>
    <s v="No"/>
    <n v="3"/>
    <x v="3"/>
    <x v="2"/>
    <x v="37"/>
    <x v="1"/>
    <x v="0"/>
  </r>
  <r>
    <n v="208"/>
    <x v="0"/>
    <x v="1"/>
    <n v="52257"/>
    <x v="0"/>
    <s v="Manual"/>
    <s v="No"/>
    <n v="0"/>
    <x v="1"/>
    <x v="0"/>
    <x v="33"/>
    <x v="3"/>
    <x v="0"/>
  </r>
  <r>
    <n v="209"/>
    <x v="0"/>
    <x v="1"/>
    <n v="29122"/>
    <x v="0"/>
    <s v="Professional"/>
    <s v="No"/>
    <n v="0"/>
    <x v="4"/>
    <x v="2"/>
    <x v="42"/>
    <x v="3"/>
    <x v="0"/>
  </r>
  <r>
    <n v="210"/>
    <x v="0"/>
    <x v="1"/>
    <n v="102823"/>
    <x v="3"/>
    <s v="Clerical"/>
    <s v="Yes"/>
    <n v="0"/>
    <x v="1"/>
    <x v="1"/>
    <x v="15"/>
    <x v="2"/>
    <x v="0"/>
  </r>
  <r>
    <n v="211"/>
    <x v="0"/>
    <x v="1"/>
    <n v="115982"/>
    <x v="0"/>
    <s v="Manual"/>
    <s v="Yes"/>
    <n v="2"/>
    <x v="2"/>
    <x v="0"/>
    <x v="6"/>
    <x v="3"/>
    <x v="0"/>
  </r>
  <r>
    <n v="212"/>
    <x v="0"/>
    <x v="1"/>
    <n v="25067"/>
    <x v="1"/>
    <s v="Manual"/>
    <s v="No"/>
    <n v="3"/>
    <x v="0"/>
    <x v="3"/>
    <x v="31"/>
    <x v="3"/>
    <x v="0"/>
  </r>
  <r>
    <n v="213"/>
    <x v="1"/>
    <x v="0"/>
    <n v="21549"/>
    <x v="2"/>
    <s v="Clerical"/>
    <s v="No"/>
    <n v="2"/>
    <x v="1"/>
    <x v="1"/>
    <x v="5"/>
    <x v="2"/>
    <x v="0"/>
  </r>
  <r>
    <n v="214"/>
    <x v="1"/>
    <x v="1"/>
    <n v="77394"/>
    <x v="2"/>
    <s v="Professional"/>
    <s v="No"/>
    <n v="1"/>
    <x v="3"/>
    <x v="3"/>
    <x v="22"/>
    <x v="1"/>
    <x v="0"/>
  </r>
  <r>
    <n v="215"/>
    <x v="1"/>
    <x v="1"/>
    <n v="111613"/>
    <x v="1"/>
    <s v="Clerical"/>
    <s v="No"/>
    <n v="3"/>
    <x v="0"/>
    <x v="3"/>
    <x v="42"/>
    <x v="3"/>
    <x v="0"/>
  </r>
  <r>
    <n v="216"/>
    <x v="1"/>
    <x v="1"/>
    <n v="43386"/>
    <x v="1"/>
    <s v="Professional"/>
    <s v="Yes"/>
    <n v="3"/>
    <x v="4"/>
    <x v="2"/>
    <x v="8"/>
    <x v="1"/>
    <x v="0"/>
  </r>
  <r>
    <n v="217"/>
    <x v="1"/>
    <x v="0"/>
    <n v="95989"/>
    <x v="0"/>
    <s v="Clerical"/>
    <s v="Yes"/>
    <n v="1"/>
    <x v="2"/>
    <x v="3"/>
    <x v="1"/>
    <x v="1"/>
    <x v="0"/>
  </r>
  <r>
    <n v="218"/>
    <x v="1"/>
    <x v="1"/>
    <n v="29788"/>
    <x v="3"/>
    <s v="Clerical"/>
    <s v="Yes"/>
    <n v="1"/>
    <x v="0"/>
    <x v="1"/>
    <x v="29"/>
    <x v="1"/>
    <x v="0"/>
  </r>
  <r>
    <n v="219"/>
    <x v="1"/>
    <x v="1"/>
    <n v="88695"/>
    <x v="1"/>
    <s v="Skilled Manual"/>
    <s v="Yes"/>
    <n v="2"/>
    <x v="1"/>
    <x v="3"/>
    <x v="39"/>
    <x v="1"/>
    <x v="0"/>
  </r>
  <r>
    <n v="220"/>
    <x v="1"/>
    <x v="0"/>
    <n v="117365"/>
    <x v="0"/>
    <s v="Management"/>
    <s v="No"/>
    <n v="3"/>
    <x v="2"/>
    <x v="0"/>
    <x v="29"/>
    <x v="1"/>
    <x v="0"/>
  </r>
  <r>
    <n v="221"/>
    <x v="1"/>
    <x v="0"/>
    <n v="83912"/>
    <x v="2"/>
    <s v="Clerical"/>
    <s v="No"/>
    <n v="2"/>
    <x v="1"/>
    <x v="3"/>
    <x v="23"/>
    <x v="3"/>
    <x v="1"/>
  </r>
  <r>
    <n v="222"/>
    <x v="1"/>
    <x v="1"/>
    <n v="79756"/>
    <x v="3"/>
    <s v="Skilled Manual"/>
    <s v="No"/>
    <n v="0"/>
    <x v="2"/>
    <x v="3"/>
    <x v="5"/>
    <x v="2"/>
    <x v="0"/>
  </r>
  <r>
    <n v="223"/>
    <x v="1"/>
    <x v="1"/>
    <n v="117257"/>
    <x v="0"/>
    <s v="Professional"/>
    <s v="Yes"/>
    <n v="3"/>
    <x v="2"/>
    <x v="3"/>
    <x v="26"/>
    <x v="3"/>
    <x v="0"/>
  </r>
  <r>
    <n v="224"/>
    <x v="1"/>
    <x v="1"/>
    <n v="109079"/>
    <x v="0"/>
    <s v="Clerical"/>
    <s v="No"/>
    <n v="1"/>
    <x v="1"/>
    <x v="0"/>
    <x v="24"/>
    <x v="3"/>
    <x v="1"/>
  </r>
  <r>
    <n v="225"/>
    <x v="1"/>
    <x v="0"/>
    <n v="100412"/>
    <x v="3"/>
    <s v="Clerical"/>
    <s v="No"/>
    <n v="1"/>
    <x v="3"/>
    <x v="2"/>
    <x v="30"/>
    <x v="3"/>
    <x v="0"/>
  </r>
  <r>
    <n v="226"/>
    <x v="1"/>
    <x v="0"/>
    <n v="60901"/>
    <x v="3"/>
    <s v="Management"/>
    <s v="No"/>
    <n v="2"/>
    <x v="2"/>
    <x v="3"/>
    <x v="1"/>
    <x v="1"/>
    <x v="1"/>
  </r>
  <r>
    <n v="227"/>
    <x v="1"/>
    <x v="1"/>
    <n v="42427"/>
    <x v="2"/>
    <s v="Skilled Manual"/>
    <s v="Yes"/>
    <n v="2"/>
    <x v="3"/>
    <x v="1"/>
    <x v="37"/>
    <x v="1"/>
    <x v="0"/>
  </r>
  <r>
    <n v="228"/>
    <x v="1"/>
    <x v="0"/>
    <n v="25203"/>
    <x v="3"/>
    <s v="Management"/>
    <s v="Yes"/>
    <n v="0"/>
    <x v="0"/>
    <x v="2"/>
    <x v="5"/>
    <x v="2"/>
    <x v="0"/>
  </r>
  <r>
    <n v="229"/>
    <x v="1"/>
    <x v="1"/>
    <n v="28610"/>
    <x v="2"/>
    <s v="Skilled Manual"/>
    <s v="Yes"/>
    <n v="2"/>
    <x v="4"/>
    <x v="0"/>
    <x v="41"/>
    <x v="1"/>
    <x v="0"/>
  </r>
  <r>
    <n v="230"/>
    <x v="1"/>
    <x v="1"/>
    <n v="33936"/>
    <x v="3"/>
    <s v="Management"/>
    <s v="Yes"/>
    <n v="2"/>
    <x v="1"/>
    <x v="2"/>
    <x v="4"/>
    <x v="3"/>
    <x v="0"/>
  </r>
  <r>
    <n v="231"/>
    <x v="1"/>
    <x v="0"/>
    <n v="67740"/>
    <x v="3"/>
    <s v="Manual"/>
    <s v="No"/>
    <n v="0"/>
    <x v="4"/>
    <x v="1"/>
    <x v="15"/>
    <x v="2"/>
    <x v="0"/>
  </r>
  <r>
    <n v="232"/>
    <x v="1"/>
    <x v="1"/>
    <n v="95694"/>
    <x v="3"/>
    <s v="Manual"/>
    <s v="Yes"/>
    <n v="0"/>
    <x v="1"/>
    <x v="0"/>
    <x v="15"/>
    <x v="2"/>
    <x v="0"/>
  </r>
  <r>
    <n v="233"/>
    <x v="1"/>
    <x v="0"/>
    <n v="111341"/>
    <x v="3"/>
    <s v="Clerical"/>
    <s v="No"/>
    <n v="3"/>
    <x v="0"/>
    <x v="0"/>
    <x v="21"/>
    <x v="3"/>
    <x v="0"/>
  </r>
  <r>
    <n v="234"/>
    <x v="1"/>
    <x v="1"/>
    <n v="84850"/>
    <x v="2"/>
    <s v="Skilled Manual"/>
    <s v="Yes"/>
    <n v="0"/>
    <x v="1"/>
    <x v="3"/>
    <x v="20"/>
    <x v="3"/>
    <x v="0"/>
  </r>
  <r>
    <n v="235"/>
    <x v="1"/>
    <x v="0"/>
    <n v="73284"/>
    <x v="1"/>
    <s v="Professional"/>
    <s v="No"/>
    <n v="2"/>
    <x v="4"/>
    <x v="1"/>
    <x v="38"/>
    <x v="1"/>
    <x v="1"/>
  </r>
  <r>
    <n v="236"/>
    <x v="1"/>
    <x v="1"/>
    <n v="75344"/>
    <x v="0"/>
    <s v="Clerical"/>
    <s v="Yes"/>
    <n v="1"/>
    <x v="2"/>
    <x v="2"/>
    <x v="12"/>
    <x v="1"/>
    <x v="1"/>
  </r>
  <r>
    <n v="237"/>
    <x v="1"/>
    <x v="1"/>
    <n v="71688"/>
    <x v="3"/>
    <s v="Professional"/>
    <s v="Yes"/>
    <n v="3"/>
    <x v="4"/>
    <x v="2"/>
    <x v="37"/>
    <x v="1"/>
    <x v="0"/>
  </r>
  <r>
    <n v="238"/>
    <x v="1"/>
    <x v="1"/>
    <n v="119678"/>
    <x v="0"/>
    <s v="Professional"/>
    <s v="No"/>
    <n v="3"/>
    <x v="0"/>
    <x v="3"/>
    <x v="11"/>
    <x v="2"/>
    <x v="0"/>
  </r>
  <r>
    <n v="239"/>
    <x v="1"/>
    <x v="1"/>
    <n v="50879"/>
    <x v="1"/>
    <s v="Professional"/>
    <s v="Yes"/>
    <n v="0"/>
    <x v="1"/>
    <x v="0"/>
    <x v="16"/>
    <x v="3"/>
    <x v="1"/>
  </r>
  <r>
    <n v="240"/>
    <x v="1"/>
    <x v="0"/>
    <n v="34004"/>
    <x v="1"/>
    <s v="Clerical"/>
    <s v="No"/>
    <n v="1"/>
    <x v="1"/>
    <x v="2"/>
    <x v="32"/>
    <x v="1"/>
    <x v="0"/>
  </r>
  <r>
    <n v="241"/>
    <x v="0"/>
    <x v="0"/>
    <n v="65614"/>
    <x v="1"/>
    <s v="Skilled Manual"/>
    <s v="Yes"/>
    <n v="0"/>
    <x v="4"/>
    <x v="3"/>
    <x v="7"/>
    <x v="1"/>
    <x v="1"/>
  </r>
  <r>
    <n v="242"/>
    <x v="0"/>
    <x v="0"/>
    <n v="66519"/>
    <x v="0"/>
    <s v="Professional"/>
    <s v="Yes"/>
    <n v="3"/>
    <x v="2"/>
    <x v="0"/>
    <x v="5"/>
    <x v="2"/>
    <x v="0"/>
  </r>
  <r>
    <n v="243"/>
    <x v="0"/>
    <x v="1"/>
    <n v="51216"/>
    <x v="2"/>
    <s v="Clerical"/>
    <s v="Yes"/>
    <n v="1"/>
    <x v="2"/>
    <x v="1"/>
    <x v="19"/>
    <x v="3"/>
    <x v="0"/>
  </r>
  <r>
    <n v="244"/>
    <x v="0"/>
    <x v="1"/>
    <n v="93344"/>
    <x v="2"/>
    <s v="Manual"/>
    <s v="Yes"/>
    <n v="3"/>
    <x v="2"/>
    <x v="3"/>
    <x v="5"/>
    <x v="2"/>
    <x v="0"/>
  </r>
  <r>
    <n v="245"/>
    <x v="0"/>
    <x v="1"/>
    <n v="115385"/>
    <x v="3"/>
    <s v="Manual"/>
    <s v="Yes"/>
    <n v="3"/>
    <x v="4"/>
    <x v="0"/>
    <x v="10"/>
    <x v="3"/>
    <x v="0"/>
  </r>
  <r>
    <n v="246"/>
    <x v="0"/>
    <x v="1"/>
    <n v="109557"/>
    <x v="0"/>
    <s v="Clerical"/>
    <s v="No"/>
    <n v="1"/>
    <x v="0"/>
    <x v="1"/>
    <x v="14"/>
    <x v="3"/>
    <x v="0"/>
  </r>
  <r>
    <n v="247"/>
    <x v="0"/>
    <x v="0"/>
    <n v="95583"/>
    <x v="1"/>
    <s v="Professional"/>
    <s v="No"/>
    <n v="0"/>
    <x v="1"/>
    <x v="1"/>
    <x v="40"/>
    <x v="3"/>
    <x v="0"/>
  </r>
  <r>
    <n v="248"/>
    <x v="0"/>
    <x v="1"/>
    <n v="83170"/>
    <x v="0"/>
    <s v="Skilled Manual"/>
    <s v="Yes"/>
    <n v="3"/>
    <x v="0"/>
    <x v="2"/>
    <x v="7"/>
    <x v="1"/>
    <x v="0"/>
  </r>
  <r>
    <n v="249"/>
    <x v="0"/>
    <x v="1"/>
    <n v="41327"/>
    <x v="1"/>
    <s v="Professional"/>
    <s v="No"/>
    <n v="0"/>
    <x v="1"/>
    <x v="0"/>
    <x v="29"/>
    <x v="1"/>
    <x v="0"/>
  </r>
  <r>
    <n v="250"/>
    <x v="0"/>
    <x v="1"/>
    <n v="68443"/>
    <x v="3"/>
    <s v="Management"/>
    <s v="Yes"/>
    <n v="2"/>
    <x v="4"/>
    <x v="3"/>
    <x v="5"/>
    <x v="2"/>
    <x v="0"/>
  </r>
  <r>
    <n v="251"/>
    <x v="0"/>
    <x v="1"/>
    <n v="101783"/>
    <x v="3"/>
    <s v="Manual"/>
    <s v="No"/>
    <n v="3"/>
    <x v="2"/>
    <x v="0"/>
    <x v="17"/>
    <x v="1"/>
    <x v="0"/>
  </r>
  <r>
    <n v="252"/>
    <x v="0"/>
    <x v="0"/>
    <n v="75725"/>
    <x v="2"/>
    <s v="Manual"/>
    <s v="Yes"/>
    <n v="1"/>
    <x v="0"/>
    <x v="1"/>
    <x v="34"/>
    <x v="3"/>
    <x v="1"/>
  </r>
  <r>
    <n v="253"/>
    <x v="0"/>
    <x v="0"/>
    <n v="31877"/>
    <x v="2"/>
    <s v="Professional"/>
    <s v="No"/>
    <n v="1"/>
    <x v="2"/>
    <x v="2"/>
    <x v="35"/>
    <x v="3"/>
    <x v="0"/>
  </r>
  <r>
    <n v="254"/>
    <x v="0"/>
    <x v="0"/>
    <n v="81554"/>
    <x v="1"/>
    <s v="Clerical"/>
    <s v="No"/>
    <n v="1"/>
    <x v="2"/>
    <x v="0"/>
    <x v="9"/>
    <x v="3"/>
    <x v="0"/>
  </r>
  <r>
    <n v="255"/>
    <x v="0"/>
    <x v="1"/>
    <n v="52382"/>
    <x v="2"/>
    <s v="Skilled Manual"/>
    <s v="No"/>
    <n v="0"/>
    <x v="4"/>
    <x v="3"/>
    <x v="13"/>
    <x v="3"/>
    <x v="0"/>
  </r>
  <r>
    <n v="256"/>
    <x v="0"/>
    <x v="0"/>
    <n v="21180"/>
    <x v="2"/>
    <s v="Skilled Manual"/>
    <s v="No"/>
    <n v="2"/>
    <x v="4"/>
    <x v="0"/>
    <x v="19"/>
    <x v="3"/>
    <x v="0"/>
  </r>
  <r>
    <n v="257"/>
    <x v="0"/>
    <x v="1"/>
    <n v="113873"/>
    <x v="3"/>
    <s v="Management"/>
    <s v="No"/>
    <n v="0"/>
    <x v="2"/>
    <x v="1"/>
    <x v="36"/>
    <x v="2"/>
    <x v="0"/>
  </r>
  <r>
    <n v="258"/>
    <x v="0"/>
    <x v="1"/>
    <n v="29062"/>
    <x v="3"/>
    <s v="Skilled Manual"/>
    <s v="No"/>
    <n v="0"/>
    <x v="2"/>
    <x v="1"/>
    <x v="30"/>
    <x v="3"/>
    <x v="0"/>
  </r>
  <r>
    <n v="259"/>
    <x v="0"/>
    <x v="1"/>
    <n v="68798"/>
    <x v="1"/>
    <s v="Skilled Manual"/>
    <s v="No"/>
    <n v="2"/>
    <x v="1"/>
    <x v="1"/>
    <x v="8"/>
    <x v="1"/>
    <x v="1"/>
  </r>
  <r>
    <n v="260"/>
    <x v="0"/>
    <x v="0"/>
    <n v="46491"/>
    <x v="3"/>
    <s v="Management"/>
    <s v="Yes"/>
    <n v="3"/>
    <x v="3"/>
    <x v="3"/>
    <x v="38"/>
    <x v="1"/>
    <x v="0"/>
  </r>
  <r>
    <n v="261"/>
    <x v="0"/>
    <x v="1"/>
    <n v="70059"/>
    <x v="2"/>
    <s v="Skilled Manual"/>
    <s v="Yes"/>
    <n v="1"/>
    <x v="3"/>
    <x v="1"/>
    <x v="31"/>
    <x v="3"/>
    <x v="0"/>
  </r>
  <r>
    <n v="262"/>
    <x v="0"/>
    <x v="0"/>
    <n v="105961"/>
    <x v="1"/>
    <s v="Professional"/>
    <s v="Yes"/>
    <n v="1"/>
    <x v="0"/>
    <x v="0"/>
    <x v="15"/>
    <x v="2"/>
    <x v="0"/>
  </r>
  <r>
    <n v="263"/>
    <x v="1"/>
    <x v="1"/>
    <n v="61833"/>
    <x v="3"/>
    <s v="Skilled Manual"/>
    <s v="No"/>
    <n v="3"/>
    <x v="3"/>
    <x v="0"/>
    <x v="16"/>
    <x v="3"/>
    <x v="0"/>
  </r>
  <r>
    <n v="264"/>
    <x v="1"/>
    <x v="1"/>
    <n v="82400"/>
    <x v="2"/>
    <s v="Professional"/>
    <s v="Yes"/>
    <n v="0"/>
    <x v="4"/>
    <x v="0"/>
    <x v="41"/>
    <x v="1"/>
    <x v="1"/>
  </r>
  <r>
    <n v="265"/>
    <x v="0"/>
    <x v="1"/>
    <n v="64464"/>
    <x v="0"/>
    <s v="Professional"/>
    <s v="No"/>
    <n v="2"/>
    <x v="2"/>
    <x v="2"/>
    <x v="9"/>
    <x v="3"/>
    <x v="1"/>
  </r>
  <r>
    <n v="266"/>
    <x v="0"/>
    <x v="0"/>
    <n v="40021"/>
    <x v="2"/>
    <s v="Professional"/>
    <s v="No"/>
    <n v="2"/>
    <x v="4"/>
    <x v="1"/>
    <x v="29"/>
    <x v="1"/>
    <x v="0"/>
  </r>
  <r>
    <n v="267"/>
    <x v="0"/>
    <x v="1"/>
    <n v="23790"/>
    <x v="1"/>
    <s v="Manual"/>
    <s v="No"/>
    <n v="3"/>
    <x v="1"/>
    <x v="2"/>
    <x v="32"/>
    <x v="1"/>
    <x v="0"/>
  </r>
  <r>
    <n v="268"/>
    <x v="1"/>
    <x v="0"/>
    <n v="119946"/>
    <x v="1"/>
    <s v="Clerical"/>
    <s v="Yes"/>
    <n v="0"/>
    <x v="3"/>
    <x v="0"/>
    <x v="6"/>
    <x v="3"/>
    <x v="1"/>
  </r>
  <r>
    <n v="269"/>
    <x v="0"/>
    <x v="1"/>
    <n v="79162"/>
    <x v="0"/>
    <s v="Management"/>
    <s v="Yes"/>
    <n v="2"/>
    <x v="1"/>
    <x v="3"/>
    <x v="14"/>
    <x v="3"/>
    <x v="0"/>
  </r>
  <r>
    <n v="270"/>
    <x v="1"/>
    <x v="0"/>
    <n v="40169"/>
    <x v="0"/>
    <s v="Management"/>
    <s v="No"/>
    <n v="0"/>
    <x v="4"/>
    <x v="2"/>
    <x v="28"/>
    <x v="3"/>
    <x v="0"/>
  </r>
  <r>
    <n v="271"/>
    <x v="0"/>
    <x v="1"/>
    <n v="87402"/>
    <x v="3"/>
    <s v="Clerical"/>
    <s v="No"/>
    <n v="1"/>
    <x v="1"/>
    <x v="0"/>
    <x v="9"/>
    <x v="3"/>
    <x v="1"/>
  </r>
  <r>
    <n v="272"/>
    <x v="0"/>
    <x v="1"/>
    <n v="57758"/>
    <x v="3"/>
    <s v="Management"/>
    <s v="No"/>
    <n v="2"/>
    <x v="0"/>
    <x v="1"/>
    <x v="6"/>
    <x v="3"/>
    <x v="0"/>
  </r>
  <r>
    <n v="273"/>
    <x v="0"/>
    <x v="1"/>
    <n v="103934"/>
    <x v="3"/>
    <s v="Manual"/>
    <s v="No"/>
    <n v="0"/>
    <x v="3"/>
    <x v="3"/>
    <x v="17"/>
    <x v="1"/>
    <x v="1"/>
  </r>
  <r>
    <n v="274"/>
    <x v="0"/>
    <x v="0"/>
    <n v="35094"/>
    <x v="2"/>
    <s v="Management"/>
    <s v="No"/>
    <n v="0"/>
    <x v="3"/>
    <x v="3"/>
    <x v="22"/>
    <x v="1"/>
    <x v="0"/>
  </r>
  <r>
    <n v="275"/>
    <x v="0"/>
    <x v="1"/>
    <n v="109079"/>
    <x v="0"/>
    <s v="Management"/>
    <s v="Yes"/>
    <n v="0"/>
    <x v="2"/>
    <x v="2"/>
    <x v="41"/>
    <x v="1"/>
    <x v="0"/>
  </r>
  <r>
    <n v="276"/>
    <x v="0"/>
    <x v="0"/>
    <n v="30524"/>
    <x v="2"/>
    <s v="Clerical"/>
    <s v="Yes"/>
    <n v="0"/>
    <x v="3"/>
    <x v="0"/>
    <x v="1"/>
    <x v="1"/>
    <x v="0"/>
  </r>
  <r>
    <n v="277"/>
    <x v="0"/>
    <x v="0"/>
    <n v="119301"/>
    <x v="3"/>
    <s v="Skilled Manual"/>
    <s v="Yes"/>
    <n v="2"/>
    <x v="0"/>
    <x v="1"/>
    <x v="28"/>
    <x v="3"/>
    <x v="0"/>
  </r>
  <r>
    <n v="278"/>
    <x v="0"/>
    <x v="1"/>
    <n v="53224"/>
    <x v="3"/>
    <s v="Professional"/>
    <s v="No"/>
    <n v="0"/>
    <x v="2"/>
    <x v="1"/>
    <x v="22"/>
    <x v="1"/>
    <x v="0"/>
  </r>
  <r>
    <n v="279"/>
    <x v="0"/>
    <x v="0"/>
    <n v="21139"/>
    <x v="1"/>
    <s v="Management"/>
    <s v="No"/>
    <n v="3"/>
    <x v="0"/>
    <x v="0"/>
    <x v="28"/>
    <x v="3"/>
    <x v="0"/>
  </r>
  <r>
    <n v="280"/>
    <x v="0"/>
    <x v="1"/>
    <n v="31601"/>
    <x v="0"/>
    <s v="Clerical"/>
    <s v="No"/>
    <n v="2"/>
    <x v="2"/>
    <x v="1"/>
    <x v="31"/>
    <x v="3"/>
    <x v="0"/>
  </r>
  <r>
    <n v="281"/>
    <x v="0"/>
    <x v="0"/>
    <n v="35929"/>
    <x v="3"/>
    <s v="Professional"/>
    <s v="Yes"/>
    <n v="0"/>
    <x v="0"/>
    <x v="1"/>
    <x v="12"/>
    <x v="1"/>
    <x v="0"/>
  </r>
  <r>
    <n v="282"/>
    <x v="0"/>
    <x v="1"/>
    <n v="100286"/>
    <x v="1"/>
    <s v="Manual"/>
    <s v="Yes"/>
    <n v="2"/>
    <x v="0"/>
    <x v="0"/>
    <x v="42"/>
    <x v="3"/>
    <x v="0"/>
  </r>
  <r>
    <n v="283"/>
    <x v="0"/>
    <x v="1"/>
    <n v="117220"/>
    <x v="1"/>
    <s v="Clerical"/>
    <s v="No"/>
    <n v="1"/>
    <x v="2"/>
    <x v="2"/>
    <x v="38"/>
    <x v="1"/>
    <x v="1"/>
  </r>
  <r>
    <n v="284"/>
    <x v="0"/>
    <x v="0"/>
    <n v="113003"/>
    <x v="0"/>
    <s v="Skilled Manual"/>
    <s v="No"/>
    <n v="0"/>
    <x v="1"/>
    <x v="1"/>
    <x v="27"/>
    <x v="3"/>
    <x v="1"/>
  </r>
  <r>
    <n v="285"/>
    <x v="0"/>
    <x v="0"/>
    <n v="104140"/>
    <x v="2"/>
    <s v="Professional"/>
    <s v="No"/>
    <n v="2"/>
    <x v="0"/>
    <x v="2"/>
    <x v="32"/>
    <x v="1"/>
    <x v="0"/>
  </r>
  <r>
    <n v="286"/>
    <x v="0"/>
    <x v="1"/>
    <n v="34607"/>
    <x v="1"/>
    <s v="Manual"/>
    <s v="No"/>
    <n v="2"/>
    <x v="2"/>
    <x v="1"/>
    <x v="2"/>
    <x v="2"/>
    <x v="0"/>
  </r>
  <r>
    <n v="287"/>
    <x v="0"/>
    <x v="1"/>
    <n v="62444"/>
    <x v="0"/>
    <s v="Management"/>
    <s v="Yes"/>
    <n v="3"/>
    <x v="2"/>
    <x v="0"/>
    <x v="30"/>
    <x v="3"/>
    <x v="0"/>
  </r>
  <r>
    <n v="288"/>
    <x v="0"/>
    <x v="1"/>
    <n v="116969"/>
    <x v="3"/>
    <s v="Management"/>
    <s v="Yes"/>
    <n v="3"/>
    <x v="2"/>
    <x v="1"/>
    <x v="30"/>
    <x v="3"/>
    <x v="0"/>
  </r>
  <r>
    <n v="289"/>
    <x v="0"/>
    <x v="1"/>
    <n v="90626"/>
    <x v="2"/>
    <s v="Skilled Manual"/>
    <s v="No"/>
    <n v="3"/>
    <x v="3"/>
    <x v="1"/>
    <x v="16"/>
    <x v="3"/>
    <x v="0"/>
  </r>
  <r>
    <n v="290"/>
    <x v="0"/>
    <x v="1"/>
    <n v="27446"/>
    <x v="2"/>
    <s v="Manual"/>
    <s v="Yes"/>
    <n v="3"/>
    <x v="2"/>
    <x v="3"/>
    <x v="10"/>
    <x v="3"/>
    <x v="0"/>
  </r>
  <r>
    <n v="291"/>
    <x v="1"/>
    <x v="1"/>
    <n v="47827"/>
    <x v="3"/>
    <s v="Manual"/>
    <s v="Yes"/>
    <n v="1"/>
    <x v="4"/>
    <x v="0"/>
    <x v="10"/>
    <x v="3"/>
    <x v="1"/>
  </r>
  <r>
    <n v="292"/>
    <x v="1"/>
    <x v="0"/>
    <n v="89539"/>
    <x v="2"/>
    <s v="Clerical"/>
    <s v="Yes"/>
    <n v="0"/>
    <x v="1"/>
    <x v="3"/>
    <x v="16"/>
    <x v="3"/>
    <x v="1"/>
  </r>
  <r>
    <n v="293"/>
    <x v="1"/>
    <x v="0"/>
    <n v="54310"/>
    <x v="3"/>
    <s v="Professional"/>
    <s v="Yes"/>
    <n v="3"/>
    <x v="4"/>
    <x v="2"/>
    <x v="26"/>
    <x v="3"/>
    <x v="0"/>
  </r>
  <r>
    <n v="294"/>
    <x v="0"/>
    <x v="1"/>
    <n v="108661"/>
    <x v="3"/>
    <s v="Clerical"/>
    <s v="No"/>
    <n v="0"/>
    <x v="3"/>
    <x v="2"/>
    <x v="13"/>
    <x v="3"/>
    <x v="0"/>
  </r>
  <r>
    <n v="295"/>
    <x v="1"/>
    <x v="1"/>
    <n v="105789"/>
    <x v="3"/>
    <s v="Professional"/>
    <s v="No"/>
    <n v="0"/>
    <x v="1"/>
    <x v="0"/>
    <x v="27"/>
    <x v="3"/>
    <x v="1"/>
  </r>
  <r>
    <n v="296"/>
    <x v="0"/>
    <x v="1"/>
    <n v="20280"/>
    <x v="1"/>
    <s v="Manual"/>
    <s v="No"/>
    <n v="0"/>
    <x v="1"/>
    <x v="3"/>
    <x v="42"/>
    <x v="3"/>
    <x v="0"/>
  </r>
  <r>
    <n v="297"/>
    <x v="1"/>
    <x v="1"/>
    <n v="32791"/>
    <x v="1"/>
    <s v="Clerical"/>
    <s v="No"/>
    <n v="3"/>
    <x v="1"/>
    <x v="2"/>
    <x v="2"/>
    <x v="2"/>
    <x v="0"/>
  </r>
  <r>
    <n v="298"/>
    <x v="0"/>
    <x v="0"/>
    <n v="42991"/>
    <x v="0"/>
    <s v="Professional"/>
    <s v="No"/>
    <n v="0"/>
    <x v="4"/>
    <x v="3"/>
    <x v="7"/>
    <x v="1"/>
    <x v="0"/>
  </r>
  <r>
    <n v="299"/>
    <x v="1"/>
    <x v="1"/>
    <n v="104545"/>
    <x v="3"/>
    <s v="Management"/>
    <s v="No"/>
    <n v="1"/>
    <x v="0"/>
    <x v="1"/>
    <x v="27"/>
    <x v="3"/>
    <x v="1"/>
  </r>
  <r>
    <n v="300"/>
    <x v="0"/>
    <x v="1"/>
    <n v="81137"/>
    <x v="1"/>
    <s v="Skilled Manual"/>
    <s v="Yes"/>
    <n v="3"/>
    <x v="2"/>
    <x v="3"/>
    <x v="18"/>
    <x v="1"/>
    <x v="0"/>
  </r>
  <r>
    <n v="301"/>
    <x v="0"/>
    <x v="0"/>
    <n v="93360"/>
    <x v="1"/>
    <s v="Management"/>
    <s v="No"/>
    <n v="0"/>
    <x v="0"/>
    <x v="0"/>
    <x v="6"/>
    <x v="3"/>
    <x v="1"/>
  </r>
  <r>
    <n v="302"/>
    <x v="0"/>
    <x v="0"/>
    <n v="81407"/>
    <x v="3"/>
    <s v="Manual"/>
    <s v="Yes"/>
    <n v="1"/>
    <x v="1"/>
    <x v="1"/>
    <x v="16"/>
    <x v="3"/>
    <x v="1"/>
  </r>
  <r>
    <n v="303"/>
    <x v="0"/>
    <x v="0"/>
    <n v="100585"/>
    <x v="0"/>
    <s v="Professional"/>
    <s v="Yes"/>
    <n v="2"/>
    <x v="3"/>
    <x v="3"/>
    <x v="23"/>
    <x v="3"/>
    <x v="1"/>
  </r>
  <r>
    <n v="304"/>
    <x v="0"/>
    <x v="1"/>
    <n v="56335"/>
    <x v="1"/>
    <s v="Skilled Manual"/>
    <s v="Yes"/>
    <n v="2"/>
    <x v="1"/>
    <x v="0"/>
    <x v="25"/>
    <x v="2"/>
    <x v="0"/>
  </r>
  <r>
    <n v="305"/>
    <x v="0"/>
    <x v="0"/>
    <n v="46800"/>
    <x v="2"/>
    <s v="Manual"/>
    <s v="No"/>
    <n v="1"/>
    <x v="3"/>
    <x v="1"/>
    <x v="35"/>
    <x v="3"/>
    <x v="0"/>
  </r>
  <r>
    <n v="306"/>
    <x v="0"/>
    <x v="1"/>
    <n v="81950"/>
    <x v="1"/>
    <s v="Professional"/>
    <s v="No"/>
    <n v="3"/>
    <x v="1"/>
    <x v="2"/>
    <x v="30"/>
    <x v="3"/>
    <x v="0"/>
  </r>
  <r>
    <n v="307"/>
    <x v="0"/>
    <x v="0"/>
    <n v="73674"/>
    <x v="1"/>
    <s v="Skilled Manual"/>
    <s v="No"/>
    <n v="0"/>
    <x v="0"/>
    <x v="3"/>
    <x v="1"/>
    <x v="1"/>
    <x v="1"/>
  </r>
  <r>
    <n v="308"/>
    <x v="0"/>
    <x v="1"/>
    <n v="24360"/>
    <x v="1"/>
    <s v="Manual"/>
    <s v="Yes"/>
    <n v="1"/>
    <x v="1"/>
    <x v="2"/>
    <x v="25"/>
    <x v="2"/>
    <x v="0"/>
  </r>
  <r>
    <n v="309"/>
    <x v="0"/>
    <x v="0"/>
    <n v="105344"/>
    <x v="2"/>
    <s v="Clerical"/>
    <s v="No"/>
    <n v="0"/>
    <x v="0"/>
    <x v="0"/>
    <x v="29"/>
    <x v="1"/>
    <x v="1"/>
  </r>
  <r>
    <n v="310"/>
    <x v="0"/>
    <x v="0"/>
    <n v="36646"/>
    <x v="3"/>
    <s v="Management"/>
    <s v="Yes"/>
    <n v="0"/>
    <x v="4"/>
    <x v="3"/>
    <x v="33"/>
    <x v="3"/>
    <x v="0"/>
  </r>
  <r>
    <n v="311"/>
    <x v="0"/>
    <x v="0"/>
    <n v="104127"/>
    <x v="1"/>
    <s v="Professional"/>
    <s v="No"/>
    <n v="1"/>
    <x v="4"/>
    <x v="1"/>
    <x v="6"/>
    <x v="3"/>
    <x v="0"/>
  </r>
  <r>
    <n v="312"/>
    <x v="0"/>
    <x v="0"/>
    <n v="89449"/>
    <x v="3"/>
    <s v="Management"/>
    <s v="Yes"/>
    <n v="1"/>
    <x v="4"/>
    <x v="3"/>
    <x v="26"/>
    <x v="3"/>
    <x v="0"/>
  </r>
  <r>
    <n v="313"/>
    <x v="1"/>
    <x v="1"/>
    <n v="20716"/>
    <x v="1"/>
    <s v="Management"/>
    <s v="No"/>
    <n v="2"/>
    <x v="2"/>
    <x v="3"/>
    <x v="31"/>
    <x v="3"/>
    <x v="0"/>
  </r>
  <r>
    <n v="314"/>
    <x v="1"/>
    <x v="1"/>
    <n v="25140"/>
    <x v="1"/>
    <s v="Manual"/>
    <s v="No"/>
    <n v="3"/>
    <x v="1"/>
    <x v="0"/>
    <x v="34"/>
    <x v="3"/>
    <x v="0"/>
  </r>
  <r>
    <n v="315"/>
    <x v="1"/>
    <x v="0"/>
    <n v="53990"/>
    <x v="2"/>
    <s v="Professional"/>
    <s v="Yes"/>
    <n v="1"/>
    <x v="0"/>
    <x v="1"/>
    <x v="41"/>
    <x v="1"/>
    <x v="0"/>
  </r>
  <r>
    <n v="316"/>
    <x v="1"/>
    <x v="0"/>
    <n v="90173"/>
    <x v="1"/>
    <s v="Manual"/>
    <s v="Yes"/>
    <n v="3"/>
    <x v="4"/>
    <x v="1"/>
    <x v="40"/>
    <x v="3"/>
    <x v="0"/>
  </r>
  <r>
    <n v="317"/>
    <x v="1"/>
    <x v="0"/>
    <n v="99962"/>
    <x v="1"/>
    <s v="Professional"/>
    <s v="Yes"/>
    <n v="3"/>
    <x v="4"/>
    <x v="3"/>
    <x v="10"/>
    <x v="3"/>
    <x v="0"/>
  </r>
  <r>
    <n v="318"/>
    <x v="1"/>
    <x v="0"/>
    <n v="47959"/>
    <x v="0"/>
    <s v="Manual"/>
    <s v="No"/>
    <n v="1"/>
    <x v="0"/>
    <x v="3"/>
    <x v="15"/>
    <x v="2"/>
    <x v="0"/>
  </r>
  <r>
    <n v="319"/>
    <x v="0"/>
    <x v="0"/>
    <n v="73798"/>
    <x v="1"/>
    <s v="Management"/>
    <s v="No"/>
    <n v="1"/>
    <x v="3"/>
    <x v="0"/>
    <x v="10"/>
    <x v="3"/>
    <x v="1"/>
  </r>
  <r>
    <n v="320"/>
    <x v="0"/>
    <x v="1"/>
    <n v="116897"/>
    <x v="0"/>
    <s v="Manual"/>
    <s v="Yes"/>
    <n v="1"/>
    <x v="1"/>
    <x v="3"/>
    <x v="40"/>
    <x v="3"/>
    <x v="0"/>
  </r>
  <r>
    <n v="321"/>
    <x v="0"/>
    <x v="1"/>
    <n v="61611"/>
    <x v="2"/>
    <s v="Clerical"/>
    <s v="Yes"/>
    <n v="3"/>
    <x v="4"/>
    <x v="0"/>
    <x v="9"/>
    <x v="3"/>
    <x v="0"/>
  </r>
  <r>
    <n v="322"/>
    <x v="0"/>
    <x v="1"/>
    <n v="88392"/>
    <x v="1"/>
    <s v="Professional"/>
    <s v="No"/>
    <n v="2"/>
    <x v="3"/>
    <x v="3"/>
    <x v="31"/>
    <x v="3"/>
    <x v="0"/>
  </r>
  <r>
    <n v="323"/>
    <x v="0"/>
    <x v="1"/>
    <n v="82434"/>
    <x v="1"/>
    <s v="Manual"/>
    <s v="No"/>
    <n v="0"/>
    <x v="1"/>
    <x v="2"/>
    <x v="0"/>
    <x v="0"/>
    <x v="1"/>
  </r>
  <r>
    <n v="324"/>
    <x v="0"/>
    <x v="0"/>
    <n v="26399"/>
    <x v="1"/>
    <s v="Clerical"/>
    <s v="No"/>
    <n v="2"/>
    <x v="2"/>
    <x v="3"/>
    <x v="26"/>
    <x v="3"/>
    <x v="0"/>
  </r>
  <r>
    <n v="325"/>
    <x v="0"/>
    <x v="1"/>
    <n v="29675"/>
    <x v="0"/>
    <s v="Professional"/>
    <s v="Yes"/>
    <n v="1"/>
    <x v="4"/>
    <x v="1"/>
    <x v="30"/>
    <x v="3"/>
    <x v="0"/>
  </r>
  <r>
    <n v="326"/>
    <x v="1"/>
    <x v="1"/>
    <n v="79211"/>
    <x v="2"/>
    <s v="Professional"/>
    <s v="Yes"/>
    <n v="2"/>
    <x v="3"/>
    <x v="1"/>
    <x v="0"/>
    <x v="0"/>
    <x v="1"/>
  </r>
  <r>
    <n v="327"/>
    <x v="1"/>
    <x v="1"/>
    <n v="110647"/>
    <x v="3"/>
    <s v="Clerical"/>
    <s v="Yes"/>
    <n v="0"/>
    <x v="4"/>
    <x v="2"/>
    <x v="4"/>
    <x v="3"/>
    <x v="0"/>
  </r>
  <r>
    <n v="328"/>
    <x v="1"/>
    <x v="1"/>
    <n v="118149"/>
    <x v="1"/>
    <s v="Professional"/>
    <s v="Yes"/>
    <n v="1"/>
    <x v="0"/>
    <x v="3"/>
    <x v="39"/>
    <x v="1"/>
    <x v="0"/>
  </r>
  <r>
    <n v="329"/>
    <x v="1"/>
    <x v="0"/>
    <n v="36666"/>
    <x v="0"/>
    <s v="Management"/>
    <s v="Yes"/>
    <n v="0"/>
    <x v="1"/>
    <x v="1"/>
    <x v="3"/>
    <x v="3"/>
    <x v="0"/>
  </r>
  <r>
    <n v="330"/>
    <x v="1"/>
    <x v="1"/>
    <n v="80267"/>
    <x v="2"/>
    <s v="Professional"/>
    <s v="Yes"/>
    <n v="2"/>
    <x v="2"/>
    <x v="2"/>
    <x v="4"/>
    <x v="3"/>
    <x v="1"/>
  </r>
  <r>
    <n v="331"/>
    <x v="1"/>
    <x v="0"/>
    <n v="104234"/>
    <x v="3"/>
    <s v="Management"/>
    <s v="Yes"/>
    <n v="0"/>
    <x v="0"/>
    <x v="3"/>
    <x v="5"/>
    <x v="2"/>
    <x v="0"/>
  </r>
  <r>
    <n v="332"/>
    <x v="1"/>
    <x v="1"/>
    <n v="67763"/>
    <x v="2"/>
    <s v="Skilled Manual"/>
    <s v="Yes"/>
    <n v="3"/>
    <x v="3"/>
    <x v="0"/>
    <x v="12"/>
    <x v="1"/>
    <x v="0"/>
  </r>
  <r>
    <n v="333"/>
    <x v="0"/>
    <x v="0"/>
    <n v="61918"/>
    <x v="2"/>
    <s v="Professional"/>
    <s v="Yes"/>
    <n v="3"/>
    <x v="4"/>
    <x v="0"/>
    <x v="22"/>
    <x v="1"/>
    <x v="0"/>
  </r>
  <r>
    <n v="334"/>
    <x v="1"/>
    <x v="0"/>
    <n v="68972"/>
    <x v="1"/>
    <s v="Professional"/>
    <s v="Yes"/>
    <n v="2"/>
    <x v="0"/>
    <x v="0"/>
    <x v="42"/>
    <x v="3"/>
    <x v="0"/>
  </r>
  <r>
    <n v="335"/>
    <x v="1"/>
    <x v="0"/>
    <n v="59130"/>
    <x v="2"/>
    <s v="Clerical"/>
    <s v="Yes"/>
    <n v="3"/>
    <x v="1"/>
    <x v="2"/>
    <x v="10"/>
    <x v="3"/>
    <x v="0"/>
  </r>
  <r>
    <n v="336"/>
    <x v="0"/>
    <x v="0"/>
    <n v="68080"/>
    <x v="2"/>
    <s v="Management"/>
    <s v="No"/>
    <n v="1"/>
    <x v="0"/>
    <x v="2"/>
    <x v="34"/>
    <x v="3"/>
    <x v="0"/>
  </r>
  <r>
    <n v="337"/>
    <x v="1"/>
    <x v="0"/>
    <n v="90962"/>
    <x v="2"/>
    <s v="Professional"/>
    <s v="No"/>
    <n v="3"/>
    <x v="2"/>
    <x v="2"/>
    <x v="10"/>
    <x v="3"/>
    <x v="0"/>
  </r>
  <r>
    <n v="338"/>
    <x v="1"/>
    <x v="1"/>
    <n v="99536"/>
    <x v="1"/>
    <s v="Manual"/>
    <s v="No"/>
    <n v="1"/>
    <x v="0"/>
    <x v="3"/>
    <x v="8"/>
    <x v="1"/>
    <x v="0"/>
  </r>
  <r>
    <n v="339"/>
    <x v="1"/>
    <x v="0"/>
    <n v="21991"/>
    <x v="2"/>
    <s v="Manual"/>
    <s v="Yes"/>
    <n v="1"/>
    <x v="2"/>
    <x v="1"/>
    <x v="5"/>
    <x v="2"/>
    <x v="0"/>
  </r>
  <r>
    <n v="340"/>
    <x v="1"/>
    <x v="0"/>
    <n v="118650"/>
    <x v="3"/>
    <s v="Manual"/>
    <s v="No"/>
    <n v="2"/>
    <x v="3"/>
    <x v="3"/>
    <x v="20"/>
    <x v="3"/>
    <x v="0"/>
  </r>
  <r>
    <n v="341"/>
    <x v="0"/>
    <x v="0"/>
    <n v="37589"/>
    <x v="0"/>
    <s v="Skilled Manual"/>
    <s v="No"/>
    <n v="3"/>
    <x v="0"/>
    <x v="2"/>
    <x v="19"/>
    <x v="3"/>
    <x v="0"/>
  </r>
  <r>
    <n v="342"/>
    <x v="0"/>
    <x v="1"/>
    <n v="25282"/>
    <x v="2"/>
    <s v="Management"/>
    <s v="No"/>
    <n v="1"/>
    <x v="3"/>
    <x v="3"/>
    <x v="3"/>
    <x v="3"/>
    <x v="0"/>
  </r>
  <r>
    <n v="343"/>
    <x v="1"/>
    <x v="1"/>
    <n v="48350"/>
    <x v="1"/>
    <s v="Manual"/>
    <s v="Yes"/>
    <n v="2"/>
    <x v="1"/>
    <x v="0"/>
    <x v="7"/>
    <x v="1"/>
    <x v="1"/>
  </r>
  <r>
    <n v="344"/>
    <x v="1"/>
    <x v="1"/>
    <n v="30381"/>
    <x v="0"/>
    <s v="Skilled Manual"/>
    <s v="Yes"/>
    <n v="3"/>
    <x v="0"/>
    <x v="0"/>
    <x v="31"/>
    <x v="3"/>
    <x v="0"/>
  </r>
  <r>
    <n v="345"/>
    <x v="1"/>
    <x v="1"/>
    <n v="22447"/>
    <x v="3"/>
    <s v="Skilled Manual"/>
    <s v="No"/>
    <n v="2"/>
    <x v="4"/>
    <x v="3"/>
    <x v="5"/>
    <x v="2"/>
    <x v="0"/>
  </r>
  <r>
    <n v="346"/>
    <x v="1"/>
    <x v="1"/>
    <n v="79978"/>
    <x v="1"/>
    <s v="Professional"/>
    <s v="No"/>
    <n v="3"/>
    <x v="2"/>
    <x v="2"/>
    <x v="42"/>
    <x v="3"/>
    <x v="0"/>
  </r>
  <r>
    <n v="347"/>
    <x v="1"/>
    <x v="0"/>
    <n v="63160"/>
    <x v="3"/>
    <s v="Clerical"/>
    <s v="Yes"/>
    <n v="2"/>
    <x v="0"/>
    <x v="2"/>
    <x v="1"/>
    <x v="1"/>
    <x v="1"/>
  </r>
  <r>
    <n v="348"/>
    <x v="1"/>
    <x v="0"/>
    <n v="68809"/>
    <x v="0"/>
    <s v="Professional"/>
    <s v="Yes"/>
    <n v="0"/>
    <x v="1"/>
    <x v="0"/>
    <x v="11"/>
    <x v="2"/>
    <x v="0"/>
  </r>
  <r>
    <n v="349"/>
    <x v="1"/>
    <x v="0"/>
    <n v="27060"/>
    <x v="0"/>
    <s v="Clerical"/>
    <s v="Yes"/>
    <n v="0"/>
    <x v="1"/>
    <x v="0"/>
    <x v="6"/>
    <x v="3"/>
    <x v="0"/>
  </r>
  <r>
    <n v="350"/>
    <x v="1"/>
    <x v="1"/>
    <n v="37315"/>
    <x v="2"/>
    <s v="Management"/>
    <s v="Yes"/>
    <n v="3"/>
    <x v="0"/>
    <x v="0"/>
    <x v="8"/>
    <x v="1"/>
    <x v="0"/>
  </r>
  <r>
    <n v="351"/>
    <x v="0"/>
    <x v="0"/>
    <n v="50230"/>
    <x v="3"/>
    <s v="Skilled Manual"/>
    <s v="No"/>
    <n v="2"/>
    <x v="1"/>
    <x v="0"/>
    <x v="6"/>
    <x v="3"/>
    <x v="1"/>
  </r>
  <r>
    <n v="352"/>
    <x v="1"/>
    <x v="0"/>
    <n v="114222"/>
    <x v="3"/>
    <s v="Management"/>
    <s v="No"/>
    <n v="3"/>
    <x v="0"/>
    <x v="0"/>
    <x v="10"/>
    <x v="3"/>
    <x v="0"/>
  </r>
  <r>
    <n v="353"/>
    <x v="1"/>
    <x v="0"/>
    <n v="103260"/>
    <x v="0"/>
    <s v="Manual"/>
    <s v="No"/>
    <n v="2"/>
    <x v="1"/>
    <x v="0"/>
    <x v="42"/>
    <x v="3"/>
    <x v="0"/>
  </r>
  <r>
    <n v="354"/>
    <x v="1"/>
    <x v="0"/>
    <n v="96677"/>
    <x v="0"/>
    <s v="Management"/>
    <s v="No"/>
    <n v="3"/>
    <x v="3"/>
    <x v="2"/>
    <x v="8"/>
    <x v="1"/>
    <x v="0"/>
  </r>
  <r>
    <n v="355"/>
    <x v="1"/>
    <x v="0"/>
    <n v="113839"/>
    <x v="2"/>
    <s v="Manual"/>
    <s v="No"/>
    <n v="0"/>
    <x v="3"/>
    <x v="3"/>
    <x v="25"/>
    <x v="2"/>
    <x v="0"/>
  </r>
  <r>
    <n v="356"/>
    <x v="1"/>
    <x v="0"/>
    <n v="76156"/>
    <x v="3"/>
    <s v="Manual"/>
    <s v="Yes"/>
    <n v="2"/>
    <x v="0"/>
    <x v="0"/>
    <x v="1"/>
    <x v="1"/>
    <x v="0"/>
  </r>
  <r>
    <n v="357"/>
    <x v="0"/>
    <x v="0"/>
    <n v="22188"/>
    <x v="2"/>
    <s v="Skilled Manual"/>
    <s v="No"/>
    <n v="3"/>
    <x v="2"/>
    <x v="2"/>
    <x v="14"/>
    <x v="3"/>
    <x v="0"/>
  </r>
  <r>
    <n v="358"/>
    <x v="1"/>
    <x v="1"/>
    <n v="58453"/>
    <x v="3"/>
    <s v="Manual"/>
    <s v="No"/>
    <n v="0"/>
    <x v="3"/>
    <x v="3"/>
    <x v="7"/>
    <x v="1"/>
    <x v="1"/>
  </r>
  <r>
    <n v="359"/>
    <x v="0"/>
    <x v="0"/>
    <n v="52461"/>
    <x v="2"/>
    <s v="Manual"/>
    <s v="No"/>
    <n v="3"/>
    <x v="1"/>
    <x v="3"/>
    <x v="3"/>
    <x v="3"/>
    <x v="0"/>
  </r>
  <r>
    <n v="360"/>
    <x v="1"/>
    <x v="0"/>
    <n v="61645"/>
    <x v="1"/>
    <s v="Skilled Manual"/>
    <s v="No"/>
    <n v="3"/>
    <x v="0"/>
    <x v="2"/>
    <x v="12"/>
    <x v="1"/>
    <x v="0"/>
  </r>
  <r>
    <n v="361"/>
    <x v="0"/>
    <x v="0"/>
    <n v="53185"/>
    <x v="2"/>
    <s v="Professional"/>
    <s v="Yes"/>
    <n v="0"/>
    <x v="2"/>
    <x v="3"/>
    <x v="6"/>
    <x v="3"/>
    <x v="1"/>
  </r>
  <r>
    <n v="362"/>
    <x v="1"/>
    <x v="0"/>
    <n v="53106"/>
    <x v="0"/>
    <s v="Skilled Manual"/>
    <s v="Yes"/>
    <n v="0"/>
    <x v="2"/>
    <x v="1"/>
    <x v="39"/>
    <x v="1"/>
    <x v="1"/>
  </r>
  <r>
    <n v="363"/>
    <x v="0"/>
    <x v="0"/>
    <n v="79130"/>
    <x v="1"/>
    <s v="Management"/>
    <s v="No"/>
    <n v="1"/>
    <x v="2"/>
    <x v="0"/>
    <x v="30"/>
    <x v="3"/>
    <x v="1"/>
  </r>
  <r>
    <n v="364"/>
    <x v="0"/>
    <x v="0"/>
    <n v="102168"/>
    <x v="3"/>
    <s v="Skilled Manual"/>
    <s v="No"/>
    <n v="2"/>
    <x v="1"/>
    <x v="1"/>
    <x v="37"/>
    <x v="1"/>
    <x v="0"/>
  </r>
  <r>
    <n v="365"/>
    <x v="1"/>
    <x v="1"/>
    <n v="70358"/>
    <x v="1"/>
    <s v="Management"/>
    <s v="Yes"/>
    <n v="2"/>
    <x v="3"/>
    <x v="0"/>
    <x v="1"/>
    <x v="1"/>
    <x v="0"/>
  </r>
  <r>
    <n v="366"/>
    <x v="1"/>
    <x v="0"/>
    <n v="82235"/>
    <x v="2"/>
    <s v="Skilled Manual"/>
    <s v="No"/>
    <n v="1"/>
    <x v="1"/>
    <x v="1"/>
    <x v="9"/>
    <x v="3"/>
    <x v="1"/>
  </r>
  <r>
    <n v="367"/>
    <x v="1"/>
    <x v="1"/>
    <n v="49877"/>
    <x v="3"/>
    <s v="Management"/>
    <s v="No"/>
    <n v="3"/>
    <x v="4"/>
    <x v="1"/>
    <x v="34"/>
    <x v="3"/>
    <x v="0"/>
  </r>
  <r>
    <n v="368"/>
    <x v="1"/>
    <x v="0"/>
    <n v="45708"/>
    <x v="0"/>
    <s v="Manual"/>
    <s v="Yes"/>
    <n v="0"/>
    <x v="1"/>
    <x v="1"/>
    <x v="7"/>
    <x v="1"/>
    <x v="0"/>
  </r>
  <r>
    <n v="369"/>
    <x v="0"/>
    <x v="1"/>
    <n v="67524"/>
    <x v="1"/>
    <s v="Clerical"/>
    <s v="No"/>
    <n v="1"/>
    <x v="1"/>
    <x v="0"/>
    <x v="20"/>
    <x v="3"/>
    <x v="0"/>
  </r>
  <r>
    <n v="370"/>
    <x v="0"/>
    <x v="1"/>
    <n v="118934"/>
    <x v="1"/>
    <s v="Clerical"/>
    <s v="Yes"/>
    <n v="0"/>
    <x v="4"/>
    <x v="1"/>
    <x v="23"/>
    <x v="3"/>
    <x v="0"/>
  </r>
  <r>
    <n v="371"/>
    <x v="1"/>
    <x v="1"/>
    <n v="59576"/>
    <x v="2"/>
    <s v="Skilled Manual"/>
    <s v="Yes"/>
    <n v="2"/>
    <x v="0"/>
    <x v="2"/>
    <x v="34"/>
    <x v="3"/>
    <x v="0"/>
  </r>
  <r>
    <n v="372"/>
    <x v="1"/>
    <x v="1"/>
    <n v="52766"/>
    <x v="3"/>
    <s v="Management"/>
    <s v="No"/>
    <n v="0"/>
    <x v="3"/>
    <x v="3"/>
    <x v="4"/>
    <x v="3"/>
    <x v="1"/>
  </r>
  <r>
    <n v="373"/>
    <x v="0"/>
    <x v="0"/>
    <n v="75258"/>
    <x v="0"/>
    <s v="Professional"/>
    <s v="Yes"/>
    <n v="3"/>
    <x v="0"/>
    <x v="2"/>
    <x v="17"/>
    <x v="1"/>
    <x v="0"/>
  </r>
  <r>
    <n v="374"/>
    <x v="0"/>
    <x v="0"/>
    <n v="95965"/>
    <x v="2"/>
    <s v="Manual"/>
    <s v="No"/>
    <n v="0"/>
    <x v="2"/>
    <x v="0"/>
    <x v="39"/>
    <x v="1"/>
    <x v="1"/>
  </r>
  <r>
    <n v="375"/>
    <x v="0"/>
    <x v="1"/>
    <n v="82293"/>
    <x v="1"/>
    <s v="Clerical"/>
    <s v="No"/>
    <n v="3"/>
    <x v="0"/>
    <x v="3"/>
    <x v="6"/>
    <x v="3"/>
    <x v="0"/>
  </r>
  <r>
    <n v="376"/>
    <x v="0"/>
    <x v="1"/>
    <n v="20158"/>
    <x v="1"/>
    <s v="Manual"/>
    <s v="Yes"/>
    <n v="3"/>
    <x v="3"/>
    <x v="0"/>
    <x v="4"/>
    <x v="3"/>
    <x v="0"/>
  </r>
  <r>
    <n v="377"/>
    <x v="0"/>
    <x v="1"/>
    <n v="80172"/>
    <x v="2"/>
    <s v="Management"/>
    <s v="No"/>
    <n v="3"/>
    <x v="2"/>
    <x v="2"/>
    <x v="32"/>
    <x v="1"/>
    <x v="0"/>
  </r>
  <r>
    <n v="378"/>
    <x v="0"/>
    <x v="1"/>
    <n v="108570"/>
    <x v="3"/>
    <s v="Professional"/>
    <s v="Yes"/>
    <n v="1"/>
    <x v="0"/>
    <x v="0"/>
    <x v="12"/>
    <x v="1"/>
    <x v="1"/>
  </r>
  <r>
    <n v="379"/>
    <x v="0"/>
    <x v="1"/>
    <n v="73105"/>
    <x v="3"/>
    <s v="Professional"/>
    <s v="No"/>
    <n v="0"/>
    <x v="4"/>
    <x v="0"/>
    <x v="6"/>
    <x v="3"/>
    <x v="1"/>
  </r>
  <r>
    <n v="380"/>
    <x v="0"/>
    <x v="0"/>
    <n v="28536"/>
    <x v="2"/>
    <s v="Clerical"/>
    <s v="No"/>
    <n v="3"/>
    <x v="1"/>
    <x v="2"/>
    <x v="9"/>
    <x v="3"/>
    <x v="0"/>
  </r>
  <r>
    <n v="381"/>
    <x v="0"/>
    <x v="1"/>
    <n v="91505"/>
    <x v="2"/>
    <s v="Skilled Manual"/>
    <s v="No"/>
    <n v="0"/>
    <x v="1"/>
    <x v="0"/>
    <x v="28"/>
    <x v="3"/>
    <x v="0"/>
  </r>
  <r>
    <n v="382"/>
    <x v="0"/>
    <x v="1"/>
    <n v="105259"/>
    <x v="0"/>
    <s v="Manual"/>
    <s v="No"/>
    <n v="2"/>
    <x v="4"/>
    <x v="2"/>
    <x v="38"/>
    <x v="1"/>
    <x v="1"/>
  </r>
  <r>
    <n v="383"/>
    <x v="0"/>
    <x v="0"/>
    <n v="103861"/>
    <x v="1"/>
    <s v="Management"/>
    <s v="No"/>
    <n v="1"/>
    <x v="2"/>
    <x v="2"/>
    <x v="25"/>
    <x v="2"/>
    <x v="0"/>
  </r>
  <r>
    <n v="384"/>
    <x v="0"/>
    <x v="0"/>
    <n v="56326"/>
    <x v="2"/>
    <s v="Clerical"/>
    <s v="No"/>
    <n v="2"/>
    <x v="2"/>
    <x v="2"/>
    <x v="37"/>
    <x v="1"/>
    <x v="1"/>
  </r>
  <r>
    <n v="385"/>
    <x v="0"/>
    <x v="1"/>
    <n v="58795"/>
    <x v="2"/>
    <s v="Clerical"/>
    <s v="No"/>
    <n v="2"/>
    <x v="1"/>
    <x v="0"/>
    <x v="6"/>
    <x v="3"/>
    <x v="0"/>
  </r>
  <r>
    <n v="386"/>
    <x v="0"/>
    <x v="0"/>
    <n v="84295"/>
    <x v="3"/>
    <s v="Clerical"/>
    <s v="Yes"/>
    <n v="2"/>
    <x v="3"/>
    <x v="3"/>
    <x v="25"/>
    <x v="2"/>
    <x v="0"/>
  </r>
  <r>
    <n v="387"/>
    <x v="0"/>
    <x v="0"/>
    <n v="103322"/>
    <x v="0"/>
    <s v="Management"/>
    <s v="No"/>
    <n v="3"/>
    <x v="1"/>
    <x v="2"/>
    <x v="4"/>
    <x v="3"/>
    <x v="0"/>
  </r>
  <r>
    <n v="388"/>
    <x v="0"/>
    <x v="0"/>
    <n v="36110"/>
    <x v="0"/>
    <s v="Manual"/>
    <s v="Yes"/>
    <n v="2"/>
    <x v="2"/>
    <x v="0"/>
    <x v="19"/>
    <x v="3"/>
    <x v="0"/>
  </r>
  <r>
    <n v="389"/>
    <x v="0"/>
    <x v="1"/>
    <n v="40189"/>
    <x v="3"/>
    <s v="Clerical"/>
    <s v="No"/>
    <n v="3"/>
    <x v="2"/>
    <x v="3"/>
    <x v="13"/>
    <x v="3"/>
    <x v="0"/>
  </r>
  <r>
    <n v="390"/>
    <x v="1"/>
    <x v="1"/>
    <n v="62190"/>
    <x v="1"/>
    <s v="Professional"/>
    <s v="Yes"/>
    <n v="0"/>
    <x v="4"/>
    <x v="0"/>
    <x v="33"/>
    <x v="3"/>
    <x v="1"/>
  </r>
  <r>
    <n v="391"/>
    <x v="1"/>
    <x v="1"/>
    <n v="105076"/>
    <x v="3"/>
    <s v="Management"/>
    <s v="No"/>
    <n v="1"/>
    <x v="3"/>
    <x v="0"/>
    <x v="2"/>
    <x v="2"/>
    <x v="0"/>
  </r>
  <r>
    <n v="392"/>
    <x v="0"/>
    <x v="1"/>
    <n v="57793"/>
    <x v="0"/>
    <s v="Skilled Manual"/>
    <s v="No"/>
    <n v="3"/>
    <x v="2"/>
    <x v="2"/>
    <x v="32"/>
    <x v="1"/>
    <x v="0"/>
  </r>
  <r>
    <n v="393"/>
    <x v="0"/>
    <x v="1"/>
    <n v="85244"/>
    <x v="3"/>
    <s v="Professional"/>
    <s v="No"/>
    <n v="0"/>
    <x v="3"/>
    <x v="0"/>
    <x v="4"/>
    <x v="3"/>
    <x v="0"/>
  </r>
  <r>
    <n v="394"/>
    <x v="0"/>
    <x v="0"/>
    <n v="115299"/>
    <x v="0"/>
    <s v="Management"/>
    <s v="Yes"/>
    <n v="1"/>
    <x v="4"/>
    <x v="3"/>
    <x v="36"/>
    <x v="2"/>
    <x v="0"/>
  </r>
  <r>
    <n v="395"/>
    <x v="0"/>
    <x v="1"/>
    <n v="52321"/>
    <x v="3"/>
    <s v="Skilled Manual"/>
    <s v="Yes"/>
    <n v="3"/>
    <x v="0"/>
    <x v="0"/>
    <x v="32"/>
    <x v="1"/>
    <x v="0"/>
  </r>
  <r>
    <n v="396"/>
    <x v="0"/>
    <x v="0"/>
    <n v="81987"/>
    <x v="2"/>
    <s v="Professional"/>
    <s v="Yes"/>
    <n v="0"/>
    <x v="3"/>
    <x v="3"/>
    <x v="24"/>
    <x v="3"/>
    <x v="1"/>
  </r>
  <r>
    <n v="397"/>
    <x v="0"/>
    <x v="0"/>
    <n v="106030"/>
    <x v="0"/>
    <s v="Manual"/>
    <s v="Yes"/>
    <n v="3"/>
    <x v="0"/>
    <x v="0"/>
    <x v="35"/>
    <x v="3"/>
    <x v="0"/>
  </r>
  <r>
    <n v="398"/>
    <x v="0"/>
    <x v="1"/>
    <n v="106812"/>
    <x v="3"/>
    <s v="Manual"/>
    <s v="No"/>
    <n v="2"/>
    <x v="0"/>
    <x v="0"/>
    <x v="26"/>
    <x v="3"/>
    <x v="0"/>
  </r>
  <r>
    <n v="399"/>
    <x v="0"/>
    <x v="0"/>
    <n v="59986"/>
    <x v="2"/>
    <s v="Management"/>
    <s v="No"/>
    <n v="2"/>
    <x v="4"/>
    <x v="1"/>
    <x v="2"/>
    <x v="2"/>
    <x v="0"/>
  </r>
  <r>
    <n v="400"/>
    <x v="0"/>
    <x v="0"/>
    <n v="60214"/>
    <x v="2"/>
    <s v="Manual"/>
    <s v="Yes"/>
    <n v="2"/>
    <x v="4"/>
    <x v="3"/>
    <x v="37"/>
    <x v="1"/>
    <x v="1"/>
  </r>
  <r>
    <n v="401"/>
    <x v="0"/>
    <x v="0"/>
    <n v="25915"/>
    <x v="0"/>
    <s v="Skilled Manual"/>
    <s v="No"/>
    <n v="3"/>
    <x v="4"/>
    <x v="0"/>
    <x v="34"/>
    <x v="3"/>
    <x v="0"/>
  </r>
  <r>
    <n v="402"/>
    <x v="0"/>
    <x v="0"/>
    <n v="22376"/>
    <x v="0"/>
    <s v="Skilled Manual"/>
    <s v="No"/>
    <n v="0"/>
    <x v="1"/>
    <x v="3"/>
    <x v="13"/>
    <x v="3"/>
    <x v="0"/>
  </r>
  <r>
    <n v="403"/>
    <x v="1"/>
    <x v="0"/>
    <n v="60108"/>
    <x v="3"/>
    <s v="Skilled Manual"/>
    <s v="Yes"/>
    <n v="0"/>
    <x v="0"/>
    <x v="1"/>
    <x v="18"/>
    <x v="1"/>
    <x v="0"/>
  </r>
  <r>
    <n v="404"/>
    <x v="1"/>
    <x v="0"/>
    <n v="44626"/>
    <x v="2"/>
    <s v="Professional"/>
    <s v="No"/>
    <n v="0"/>
    <x v="3"/>
    <x v="1"/>
    <x v="27"/>
    <x v="3"/>
    <x v="0"/>
  </r>
  <r>
    <n v="405"/>
    <x v="1"/>
    <x v="1"/>
    <n v="77796"/>
    <x v="0"/>
    <s v="Management"/>
    <s v="Yes"/>
    <n v="2"/>
    <x v="0"/>
    <x v="2"/>
    <x v="16"/>
    <x v="3"/>
    <x v="1"/>
  </r>
  <r>
    <n v="406"/>
    <x v="1"/>
    <x v="1"/>
    <n v="42217"/>
    <x v="1"/>
    <s v="Management"/>
    <s v="No"/>
    <n v="1"/>
    <x v="0"/>
    <x v="2"/>
    <x v="5"/>
    <x v="2"/>
    <x v="0"/>
  </r>
  <r>
    <n v="407"/>
    <x v="1"/>
    <x v="1"/>
    <n v="83934"/>
    <x v="1"/>
    <s v="Skilled Manual"/>
    <s v="Yes"/>
    <n v="3"/>
    <x v="4"/>
    <x v="2"/>
    <x v="23"/>
    <x v="3"/>
    <x v="0"/>
  </r>
  <r>
    <n v="408"/>
    <x v="0"/>
    <x v="1"/>
    <n v="112714"/>
    <x v="2"/>
    <s v="Manual"/>
    <s v="No"/>
    <n v="1"/>
    <x v="1"/>
    <x v="0"/>
    <x v="22"/>
    <x v="1"/>
    <x v="1"/>
  </r>
  <r>
    <n v="409"/>
    <x v="0"/>
    <x v="1"/>
    <n v="116770"/>
    <x v="1"/>
    <s v="Management"/>
    <s v="No"/>
    <n v="0"/>
    <x v="2"/>
    <x v="2"/>
    <x v="40"/>
    <x v="3"/>
    <x v="0"/>
  </r>
  <r>
    <n v="410"/>
    <x v="0"/>
    <x v="1"/>
    <n v="29280"/>
    <x v="0"/>
    <s v="Manual"/>
    <s v="No"/>
    <n v="0"/>
    <x v="4"/>
    <x v="2"/>
    <x v="40"/>
    <x v="3"/>
    <x v="0"/>
  </r>
  <r>
    <n v="411"/>
    <x v="0"/>
    <x v="1"/>
    <n v="35278"/>
    <x v="3"/>
    <s v="Skilled Manual"/>
    <s v="No"/>
    <n v="3"/>
    <x v="2"/>
    <x v="0"/>
    <x v="27"/>
    <x v="3"/>
    <x v="0"/>
  </r>
  <r>
    <n v="412"/>
    <x v="0"/>
    <x v="0"/>
    <n v="75415"/>
    <x v="0"/>
    <s v="Manual"/>
    <s v="Yes"/>
    <n v="0"/>
    <x v="1"/>
    <x v="2"/>
    <x v="34"/>
    <x v="3"/>
    <x v="1"/>
  </r>
  <r>
    <n v="413"/>
    <x v="0"/>
    <x v="1"/>
    <n v="88363"/>
    <x v="2"/>
    <s v="Professional"/>
    <s v="Yes"/>
    <n v="0"/>
    <x v="0"/>
    <x v="3"/>
    <x v="34"/>
    <x v="3"/>
    <x v="0"/>
  </r>
  <r>
    <n v="414"/>
    <x v="0"/>
    <x v="1"/>
    <n v="23482"/>
    <x v="1"/>
    <s v="Clerical"/>
    <s v="No"/>
    <n v="3"/>
    <x v="1"/>
    <x v="2"/>
    <x v="30"/>
    <x v="3"/>
    <x v="0"/>
  </r>
  <r>
    <n v="415"/>
    <x v="0"/>
    <x v="1"/>
    <n v="22894"/>
    <x v="2"/>
    <s v="Management"/>
    <s v="Yes"/>
    <n v="0"/>
    <x v="2"/>
    <x v="2"/>
    <x v="35"/>
    <x v="3"/>
    <x v="0"/>
  </r>
  <r>
    <n v="416"/>
    <x v="0"/>
    <x v="0"/>
    <n v="41124"/>
    <x v="0"/>
    <s v="Clerical"/>
    <s v="No"/>
    <n v="0"/>
    <x v="1"/>
    <x v="3"/>
    <x v="20"/>
    <x v="3"/>
    <x v="0"/>
  </r>
  <r>
    <n v="417"/>
    <x v="0"/>
    <x v="1"/>
    <n v="43173"/>
    <x v="1"/>
    <s v="Manual"/>
    <s v="Yes"/>
    <n v="1"/>
    <x v="1"/>
    <x v="0"/>
    <x v="5"/>
    <x v="2"/>
    <x v="0"/>
  </r>
  <r>
    <n v="418"/>
    <x v="0"/>
    <x v="1"/>
    <n v="109447"/>
    <x v="2"/>
    <s v="Management"/>
    <s v="No"/>
    <n v="3"/>
    <x v="4"/>
    <x v="2"/>
    <x v="8"/>
    <x v="1"/>
    <x v="0"/>
  </r>
  <r>
    <n v="419"/>
    <x v="1"/>
    <x v="0"/>
    <n v="112852"/>
    <x v="1"/>
    <s v="Skilled Manual"/>
    <s v="No"/>
    <n v="2"/>
    <x v="2"/>
    <x v="2"/>
    <x v="21"/>
    <x v="3"/>
    <x v="0"/>
  </r>
  <r>
    <n v="420"/>
    <x v="1"/>
    <x v="0"/>
    <n v="90000"/>
    <x v="3"/>
    <s v="Clerical"/>
    <s v="No"/>
    <n v="1"/>
    <x v="2"/>
    <x v="1"/>
    <x v="41"/>
    <x v="1"/>
    <x v="1"/>
  </r>
  <r>
    <n v="421"/>
    <x v="0"/>
    <x v="1"/>
    <n v="71086"/>
    <x v="1"/>
    <s v="Professional"/>
    <s v="Yes"/>
    <n v="2"/>
    <x v="1"/>
    <x v="1"/>
    <x v="23"/>
    <x v="3"/>
    <x v="1"/>
  </r>
  <r>
    <n v="422"/>
    <x v="1"/>
    <x v="1"/>
    <n v="87401"/>
    <x v="3"/>
    <s v="Management"/>
    <s v="Yes"/>
    <n v="1"/>
    <x v="2"/>
    <x v="0"/>
    <x v="32"/>
    <x v="1"/>
    <x v="0"/>
  </r>
  <r>
    <n v="423"/>
    <x v="0"/>
    <x v="0"/>
    <n v="99836"/>
    <x v="0"/>
    <s v="Professional"/>
    <s v="No"/>
    <n v="1"/>
    <x v="3"/>
    <x v="2"/>
    <x v="22"/>
    <x v="1"/>
    <x v="0"/>
  </r>
  <r>
    <n v="424"/>
    <x v="1"/>
    <x v="1"/>
    <n v="30333"/>
    <x v="2"/>
    <s v="Clerical"/>
    <s v="Yes"/>
    <n v="1"/>
    <x v="4"/>
    <x v="1"/>
    <x v="15"/>
    <x v="2"/>
    <x v="0"/>
  </r>
  <r>
    <n v="425"/>
    <x v="0"/>
    <x v="0"/>
    <n v="28713"/>
    <x v="2"/>
    <s v="Professional"/>
    <s v="No"/>
    <n v="0"/>
    <x v="1"/>
    <x v="1"/>
    <x v="31"/>
    <x v="3"/>
    <x v="0"/>
  </r>
  <r>
    <n v="426"/>
    <x v="0"/>
    <x v="1"/>
    <n v="78018"/>
    <x v="1"/>
    <s v="Professional"/>
    <s v="Yes"/>
    <n v="1"/>
    <x v="1"/>
    <x v="0"/>
    <x v="34"/>
    <x v="3"/>
    <x v="1"/>
  </r>
  <r>
    <n v="427"/>
    <x v="0"/>
    <x v="0"/>
    <n v="98058"/>
    <x v="3"/>
    <s v="Skilled Manual"/>
    <s v="Yes"/>
    <n v="0"/>
    <x v="4"/>
    <x v="1"/>
    <x v="41"/>
    <x v="1"/>
    <x v="1"/>
  </r>
  <r>
    <n v="428"/>
    <x v="0"/>
    <x v="1"/>
    <n v="76936"/>
    <x v="1"/>
    <s v="Skilled Manual"/>
    <s v="No"/>
    <n v="2"/>
    <x v="2"/>
    <x v="3"/>
    <x v="1"/>
    <x v="1"/>
    <x v="1"/>
  </r>
  <r>
    <n v="429"/>
    <x v="0"/>
    <x v="0"/>
    <n v="95167"/>
    <x v="2"/>
    <s v="Clerical"/>
    <s v="No"/>
    <n v="0"/>
    <x v="3"/>
    <x v="0"/>
    <x v="0"/>
    <x v="0"/>
    <x v="1"/>
  </r>
  <r>
    <n v="430"/>
    <x v="0"/>
    <x v="0"/>
    <n v="113387"/>
    <x v="2"/>
    <s v="Skilled Manual"/>
    <s v="Yes"/>
    <n v="3"/>
    <x v="4"/>
    <x v="0"/>
    <x v="27"/>
    <x v="3"/>
    <x v="0"/>
  </r>
  <r>
    <n v="431"/>
    <x v="0"/>
    <x v="1"/>
    <n v="32451"/>
    <x v="1"/>
    <s v="Professional"/>
    <s v="No"/>
    <n v="1"/>
    <x v="4"/>
    <x v="0"/>
    <x v="22"/>
    <x v="1"/>
    <x v="0"/>
  </r>
  <r>
    <n v="432"/>
    <x v="0"/>
    <x v="1"/>
    <n v="109491"/>
    <x v="3"/>
    <s v="Skilled Manual"/>
    <s v="No"/>
    <n v="0"/>
    <x v="4"/>
    <x v="1"/>
    <x v="24"/>
    <x v="3"/>
    <x v="0"/>
  </r>
  <r>
    <n v="433"/>
    <x v="0"/>
    <x v="0"/>
    <n v="29685"/>
    <x v="0"/>
    <s v="Clerical"/>
    <s v="No"/>
    <n v="2"/>
    <x v="2"/>
    <x v="1"/>
    <x v="5"/>
    <x v="2"/>
    <x v="0"/>
  </r>
  <r>
    <n v="434"/>
    <x v="0"/>
    <x v="0"/>
    <n v="20823"/>
    <x v="1"/>
    <s v="Management"/>
    <s v="No"/>
    <n v="0"/>
    <x v="1"/>
    <x v="2"/>
    <x v="36"/>
    <x v="2"/>
    <x v="0"/>
  </r>
  <r>
    <n v="435"/>
    <x v="0"/>
    <x v="0"/>
    <n v="94402"/>
    <x v="0"/>
    <s v="Skilled Manual"/>
    <s v="Yes"/>
    <n v="0"/>
    <x v="0"/>
    <x v="3"/>
    <x v="35"/>
    <x v="3"/>
    <x v="0"/>
  </r>
  <r>
    <n v="436"/>
    <x v="0"/>
    <x v="0"/>
    <n v="73113"/>
    <x v="0"/>
    <s v="Management"/>
    <s v="Yes"/>
    <n v="2"/>
    <x v="4"/>
    <x v="1"/>
    <x v="5"/>
    <x v="2"/>
    <x v="0"/>
  </r>
  <r>
    <n v="437"/>
    <x v="0"/>
    <x v="0"/>
    <n v="52863"/>
    <x v="0"/>
    <s v="Management"/>
    <s v="Yes"/>
    <n v="1"/>
    <x v="1"/>
    <x v="0"/>
    <x v="19"/>
    <x v="3"/>
    <x v="0"/>
  </r>
  <r>
    <n v="438"/>
    <x v="0"/>
    <x v="0"/>
    <n v="76534"/>
    <x v="0"/>
    <s v="Professional"/>
    <s v="No"/>
    <n v="3"/>
    <x v="4"/>
    <x v="2"/>
    <x v="23"/>
    <x v="3"/>
    <x v="0"/>
  </r>
  <r>
    <n v="439"/>
    <x v="1"/>
    <x v="1"/>
    <n v="76030"/>
    <x v="2"/>
    <s v="Manual"/>
    <s v="No"/>
    <n v="3"/>
    <x v="4"/>
    <x v="0"/>
    <x v="17"/>
    <x v="1"/>
    <x v="0"/>
  </r>
  <r>
    <n v="440"/>
    <x v="0"/>
    <x v="1"/>
    <n v="54440"/>
    <x v="3"/>
    <s v="Clerical"/>
    <s v="Yes"/>
    <n v="0"/>
    <x v="4"/>
    <x v="2"/>
    <x v="30"/>
    <x v="3"/>
    <x v="0"/>
  </r>
  <r>
    <n v="441"/>
    <x v="1"/>
    <x v="1"/>
    <n v="74275"/>
    <x v="2"/>
    <s v="Skilled Manual"/>
    <s v="No"/>
    <n v="2"/>
    <x v="4"/>
    <x v="2"/>
    <x v="34"/>
    <x v="3"/>
    <x v="0"/>
  </r>
  <r>
    <n v="442"/>
    <x v="0"/>
    <x v="1"/>
    <n v="26904"/>
    <x v="1"/>
    <s v="Professional"/>
    <s v="No"/>
    <n v="0"/>
    <x v="0"/>
    <x v="3"/>
    <x v="9"/>
    <x v="3"/>
    <x v="0"/>
  </r>
  <r>
    <n v="443"/>
    <x v="0"/>
    <x v="1"/>
    <n v="54405"/>
    <x v="2"/>
    <s v="Management"/>
    <s v="Yes"/>
    <n v="2"/>
    <x v="3"/>
    <x v="2"/>
    <x v="17"/>
    <x v="1"/>
    <x v="1"/>
  </r>
  <r>
    <n v="444"/>
    <x v="1"/>
    <x v="0"/>
    <n v="68113"/>
    <x v="1"/>
    <s v="Clerical"/>
    <s v="Yes"/>
    <n v="3"/>
    <x v="3"/>
    <x v="1"/>
    <x v="2"/>
    <x v="2"/>
    <x v="0"/>
  </r>
  <r>
    <n v="445"/>
    <x v="1"/>
    <x v="1"/>
    <n v="86923"/>
    <x v="0"/>
    <s v="Clerical"/>
    <s v="Yes"/>
    <n v="0"/>
    <x v="0"/>
    <x v="0"/>
    <x v="6"/>
    <x v="3"/>
    <x v="1"/>
  </r>
  <r>
    <n v="446"/>
    <x v="0"/>
    <x v="1"/>
    <n v="37614"/>
    <x v="2"/>
    <s v="Management"/>
    <s v="Yes"/>
    <n v="3"/>
    <x v="2"/>
    <x v="2"/>
    <x v="0"/>
    <x v="0"/>
    <x v="0"/>
  </r>
  <r>
    <n v="447"/>
    <x v="1"/>
    <x v="0"/>
    <n v="40452"/>
    <x v="3"/>
    <s v="Skilled Manual"/>
    <s v="Yes"/>
    <n v="0"/>
    <x v="3"/>
    <x v="2"/>
    <x v="18"/>
    <x v="1"/>
    <x v="0"/>
  </r>
  <r>
    <n v="448"/>
    <x v="0"/>
    <x v="0"/>
    <n v="22443"/>
    <x v="1"/>
    <s v="Skilled Manual"/>
    <s v="Yes"/>
    <n v="1"/>
    <x v="2"/>
    <x v="2"/>
    <x v="29"/>
    <x v="1"/>
    <x v="0"/>
  </r>
  <r>
    <n v="449"/>
    <x v="1"/>
    <x v="1"/>
    <n v="43700"/>
    <x v="1"/>
    <s v="Manual"/>
    <s v="Yes"/>
    <n v="1"/>
    <x v="2"/>
    <x v="1"/>
    <x v="34"/>
    <x v="3"/>
    <x v="0"/>
  </r>
  <r>
    <n v="450"/>
    <x v="1"/>
    <x v="1"/>
    <n v="42081"/>
    <x v="1"/>
    <s v="Professional"/>
    <s v="Yes"/>
    <n v="3"/>
    <x v="3"/>
    <x v="3"/>
    <x v="16"/>
    <x v="3"/>
    <x v="0"/>
  </r>
  <r>
    <n v="451"/>
    <x v="1"/>
    <x v="1"/>
    <n v="90726"/>
    <x v="0"/>
    <s v="Skilled Manual"/>
    <s v="Yes"/>
    <n v="1"/>
    <x v="1"/>
    <x v="3"/>
    <x v="34"/>
    <x v="3"/>
    <x v="0"/>
  </r>
  <r>
    <n v="452"/>
    <x v="1"/>
    <x v="0"/>
    <n v="108223"/>
    <x v="2"/>
    <s v="Manual"/>
    <s v="No"/>
    <n v="1"/>
    <x v="2"/>
    <x v="0"/>
    <x v="19"/>
    <x v="3"/>
    <x v="0"/>
  </r>
  <r>
    <n v="453"/>
    <x v="1"/>
    <x v="1"/>
    <n v="117722"/>
    <x v="3"/>
    <s v="Management"/>
    <s v="No"/>
    <n v="2"/>
    <x v="4"/>
    <x v="2"/>
    <x v="16"/>
    <x v="3"/>
    <x v="1"/>
  </r>
  <r>
    <n v="454"/>
    <x v="1"/>
    <x v="1"/>
    <n v="35093"/>
    <x v="0"/>
    <s v="Management"/>
    <s v="No"/>
    <n v="3"/>
    <x v="0"/>
    <x v="2"/>
    <x v="19"/>
    <x v="3"/>
    <x v="0"/>
  </r>
  <r>
    <n v="455"/>
    <x v="1"/>
    <x v="1"/>
    <n v="93931"/>
    <x v="0"/>
    <s v="Clerical"/>
    <s v="No"/>
    <n v="2"/>
    <x v="3"/>
    <x v="3"/>
    <x v="15"/>
    <x v="2"/>
    <x v="0"/>
  </r>
  <r>
    <n v="456"/>
    <x v="1"/>
    <x v="0"/>
    <n v="48066"/>
    <x v="0"/>
    <s v="Professional"/>
    <s v="No"/>
    <n v="3"/>
    <x v="2"/>
    <x v="2"/>
    <x v="30"/>
    <x v="3"/>
    <x v="0"/>
  </r>
  <r>
    <n v="457"/>
    <x v="1"/>
    <x v="0"/>
    <n v="46677"/>
    <x v="3"/>
    <s v="Manual"/>
    <s v="No"/>
    <n v="0"/>
    <x v="1"/>
    <x v="2"/>
    <x v="37"/>
    <x v="1"/>
    <x v="0"/>
  </r>
  <r>
    <n v="458"/>
    <x v="1"/>
    <x v="0"/>
    <n v="89020"/>
    <x v="0"/>
    <s v="Skilled Manual"/>
    <s v="No"/>
    <n v="2"/>
    <x v="1"/>
    <x v="2"/>
    <x v="29"/>
    <x v="1"/>
    <x v="1"/>
  </r>
  <r>
    <n v="459"/>
    <x v="1"/>
    <x v="0"/>
    <n v="21423"/>
    <x v="3"/>
    <s v="Clerical"/>
    <s v="No"/>
    <n v="0"/>
    <x v="3"/>
    <x v="2"/>
    <x v="29"/>
    <x v="1"/>
    <x v="0"/>
  </r>
  <r>
    <n v="460"/>
    <x v="1"/>
    <x v="1"/>
    <n v="51662"/>
    <x v="1"/>
    <s v="Professional"/>
    <s v="No"/>
    <n v="0"/>
    <x v="4"/>
    <x v="0"/>
    <x v="28"/>
    <x v="3"/>
    <x v="1"/>
  </r>
  <r>
    <n v="461"/>
    <x v="1"/>
    <x v="0"/>
    <n v="105137"/>
    <x v="1"/>
    <s v="Skilled Manual"/>
    <s v="No"/>
    <n v="2"/>
    <x v="3"/>
    <x v="3"/>
    <x v="13"/>
    <x v="3"/>
    <x v="0"/>
  </r>
  <r>
    <n v="462"/>
    <x v="1"/>
    <x v="1"/>
    <n v="56981"/>
    <x v="2"/>
    <s v="Management"/>
    <s v="No"/>
    <n v="3"/>
    <x v="4"/>
    <x v="0"/>
    <x v="21"/>
    <x v="3"/>
    <x v="0"/>
  </r>
  <r>
    <n v="463"/>
    <x v="1"/>
    <x v="1"/>
    <n v="92822"/>
    <x v="3"/>
    <s v="Management"/>
    <s v="No"/>
    <n v="2"/>
    <x v="4"/>
    <x v="3"/>
    <x v="32"/>
    <x v="1"/>
    <x v="1"/>
  </r>
  <r>
    <n v="464"/>
    <x v="1"/>
    <x v="1"/>
    <n v="25981"/>
    <x v="3"/>
    <s v="Clerical"/>
    <s v="Yes"/>
    <n v="0"/>
    <x v="4"/>
    <x v="3"/>
    <x v="13"/>
    <x v="3"/>
    <x v="0"/>
  </r>
  <r>
    <n v="465"/>
    <x v="1"/>
    <x v="1"/>
    <n v="92812"/>
    <x v="0"/>
    <s v="Manual"/>
    <s v="No"/>
    <n v="3"/>
    <x v="0"/>
    <x v="3"/>
    <x v="35"/>
    <x v="3"/>
    <x v="0"/>
  </r>
  <r>
    <n v="466"/>
    <x v="1"/>
    <x v="1"/>
    <n v="106123"/>
    <x v="3"/>
    <s v="Clerical"/>
    <s v="Yes"/>
    <n v="3"/>
    <x v="0"/>
    <x v="0"/>
    <x v="22"/>
    <x v="1"/>
    <x v="0"/>
  </r>
  <r>
    <n v="467"/>
    <x v="1"/>
    <x v="1"/>
    <n v="58515"/>
    <x v="1"/>
    <s v="Manual"/>
    <s v="No"/>
    <n v="0"/>
    <x v="4"/>
    <x v="0"/>
    <x v="14"/>
    <x v="3"/>
    <x v="0"/>
  </r>
  <r>
    <n v="468"/>
    <x v="0"/>
    <x v="1"/>
    <n v="107515"/>
    <x v="2"/>
    <s v="Management"/>
    <s v="Yes"/>
    <n v="1"/>
    <x v="0"/>
    <x v="3"/>
    <x v="31"/>
    <x v="3"/>
    <x v="0"/>
  </r>
  <r>
    <n v="469"/>
    <x v="1"/>
    <x v="1"/>
    <n v="23747"/>
    <x v="2"/>
    <s v="Skilled Manual"/>
    <s v="No"/>
    <n v="2"/>
    <x v="4"/>
    <x v="1"/>
    <x v="28"/>
    <x v="3"/>
    <x v="0"/>
  </r>
  <r>
    <n v="470"/>
    <x v="1"/>
    <x v="1"/>
    <n v="32459"/>
    <x v="3"/>
    <s v="Clerical"/>
    <s v="Yes"/>
    <n v="1"/>
    <x v="0"/>
    <x v="3"/>
    <x v="36"/>
    <x v="2"/>
    <x v="0"/>
  </r>
  <r>
    <n v="471"/>
    <x v="1"/>
    <x v="0"/>
    <n v="66406"/>
    <x v="3"/>
    <s v="Skilled Manual"/>
    <s v="No"/>
    <n v="3"/>
    <x v="0"/>
    <x v="3"/>
    <x v="4"/>
    <x v="3"/>
    <x v="0"/>
  </r>
  <r>
    <n v="472"/>
    <x v="1"/>
    <x v="0"/>
    <n v="112303"/>
    <x v="0"/>
    <s v="Manual"/>
    <s v="No"/>
    <n v="3"/>
    <x v="3"/>
    <x v="3"/>
    <x v="9"/>
    <x v="3"/>
    <x v="0"/>
  </r>
  <r>
    <n v="473"/>
    <x v="1"/>
    <x v="1"/>
    <n v="37640"/>
    <x v="1"/>
    <s v="Manual"/>
    <s v="Yes"/>
    <n v="1"/>
    <x v="4"/>
    <x v="0"/>
    <x v="22"/>
    <x v="1"/>
    <x v="0"/>
  </r>
  <r>
    <n v="474"/>
    <x v="1"/>
    <x v="0"/>
    <n v="103927"/>
    <x v="3"/>
    <s v="Management"/>
    <s v="No"/>
    <n v="1"/>
    <x v="3"/>
    <x v="2"/>
    <x v="12"/>
    <x v="1"/>
    <x v="1"/>
  </r>
  <r>
    <n v="475"/>
    <x v="1"/>
    <x v="0"/>
    <n v="43434"/>
    <x v="1"/>
    <s v="Manual"/>
    <s v="No"/>
    <n v="0"/>
    <x v="1"/>
    <x v="2"/>
    <x v="20"/>
    <x v="3"/>
    <x v="0"/>
  </r>
  <r>
    <n v="476"/>
    <x v="1"/>
    <x v="0"/>
    <n v="91926"/>
    <x v="1"/>
    <s v="Skilled Manual"/>
    <s v="No"/>
    <n v="3"/>
    <x v="4"/>
    <x v="3"/>
    <x v="10"/>
    <x v="3"/>
    <x v="0"/>
  </r>
  <r>
    <n v="477"/>
    <x v="1"/>
    <x v="0"/>
    <n v="43575"/>
    <x v="2"/>
    <s v="Clerical"/>
    <s v="No"/>
    <n v="2"/>
    <x v="3"/>
    <x v="1"/>
    <x v="6"/>
    <x v="3"/>
    <x v="0"/>
  </r>
  <r>
    <n v="478"/>
    <x v="1"/>
    <x v="0"/>
    <n v="103189"/>
    <x v="2"/>
    <s v="Skilled Manual"/>
    <s v="No"/>
    <n v="2"/>
    <x v="1"/>
    <x v="0"/>
    <x v="30"/>
    <x v="3"/>
    <x v="1"/>
  </r>
  <r>
    <n v="479"/>
    <x v="0"/>
    <x v="1"/>
    <n v="59275"/>
    <x v="2"/>
    <s v="Manual"/>
    <s v="Yes"/>
    <n v="2"/>
    <x v="2"/>
    <x v="3"/>
    <x v="4"/>
    <x v="3"/>
    <x v="1"/>
  </r>
  <r>
    <n v="480"/>
    <x v="1"/>
    <x v="0"/>
    <n v="37840"/>
    <x v="1"/>
    <s v="Professional"/>
    <s v="No"/>
    <n v="3"/>
    <x v="4"/>
    <x v="0"/>
    <x v="28"/>
    <x v="3"/>
    <x v="0"/>
  </r>
  <r>
    <n v="481"/>
    <x v="1"/>
    <x v="0"/>
    <n v="46946"/>
    <x v="2"/>
    <s v="Clerical"/>
    <s v="No"/>
    <n v="1"/>
    <x v="0"/>
    <x v="1"/>
    <x v="28"/>
    <x v="3"/>
    <x v="1"/>
  </r>
  <r>
    <n v="482"/>
    <x v="1"/>
    <x v="1"/>
    <n v="32398"/>
    <x v="2"/>
    <s v="Clerical"/>
    <s v="No"/>
    <n v="0"/>
    <x v="4"/>
    <x v="0"/>
    <x v="39"/>
    <x v="1"/>
    <x v="0"/>
  </r>
  <r>
    <n v="483"/>
    <x v="1"/>
    <x v="1"/>
    <n v="96311"/>
    <x v="2"/>
    <s v="Professional"/>
    <s v="Yes"/>
    <n v="0"/>
    <x v="0"/>
    <x v="1"/>
    <x v="0"/>
    <x v="0"/>
    <x v="0"/>
  </r>
  <r>
    <n v="484"/>
    <x v="1"/>
    <x v="1"/>
    <n v="38250"/>
    <x v="0"/>
    <s v="Manual"/>
    <s v="No"/>
    <n v="1"/>
    <x v="0"/>
    <x v="3"/>
    <x v="17"/>
    <x v="1"/>
    <x v="0"/>
  </r>
  <r>
    <n v="485"/>
    <x v="1"/>
    <x v="0"/>
    <n v="109685"/>
    <x v="3"/>
    <s v="Management"/>
    <s v="No"/>
    <n v="2"/>
    <x v="2"/>
    <x v="1"/>
    <x v="31"/>
    <x v="3"/>
    <x v="0"/>
  </r>
  <r>
    <n v="486"/>
    <x v="0"/>
    <x v="1"/>
    <n v="46210"/>
    <x v="1"/>
    <s v="Management"/>
    <s v="No"/>
    <n v="1"/>
    <x v="0"/>
    <x v="0"/>
    <x v="32"/>
    <x v="1"/>
    <x v="0"/>
  </r>
  <r>
    <n v="487"/>
    <x v="0"/>
    <x v="0"/>
    <n v="84332"/>
    <x v="1"/>
    <s v="Clerical"/>
    <s v="Yes"/>
    <n v="3"/>
    <x v="4"/>
    <x v="1"/>
    <x v="39"/>
    <x v="1"/>
    <x v="0"/>
  </r>
  <r>
    <n v="488"/>
    <x v="0"/>
    <x v="0"/>
    <n v="29157"/>
    <x v="3"/>
    <s v="Manual"/>
    <s v="No"/>
    <n v="3"/>
    <x v="3"/>
    <x v="0"/>
    <x v="28"/>
    <x v="3"/>
    <x v="0"/>
  </r>
  <r>
    <n v="489"/>
    <x v="0"/>
    <x v="1"/>
    <n v="53933"/>
    <x v="0"/>
    <s v="Skilled Manual"/>
    <s v="No"/>
    <n v="0"/>
    <x v="4"/>
    <x v="0"/>
    <x v="24"/>
    <x v="3"/>
    <x v="0"/>
  </r>
  <r>
    <n v="490"/>
    <x v="0"/>
    <x v="1"/>
    <n v="101442"/>
    <x v="0"/>
    <s v="Skilled Manual"/>
    <s v="No"/>
    <n v="3"/>
    <x v="4"/>
    <x v="1"/>
    <x v="23"/>
    <x v="3"/>
    <x v="0"/>
  </r>
  <r>
    <n v="491"/>
    <x v="1"/>
    <x v="0"/>
    <n v="35558"/>
    <x v="3"/>
    <s v="Professional"/>
    <s v="No"/>
    <n v="3"/>
    <x v="3"/>
    <x v="3"/>
    <x v="18"/>
    <x v="1"/>
    <x v="0"/>
  </r>
  <r>
    <n v="492"/>
    <x v="1"/>
    <x v="1"/>
    <n v="70955"/>
    <x v="0"/>
    <s v="Professional"/>
    <s v="No"/>
    <n v="3"/>
    <x v="3"/>
    <x v="3"/>
    <x v="21"/>
    <x v="3"/>
    <x v="0"/>
  </r>
  <r>
    <n v="493"/>
    <x v="1"/>
    <x v="0"/>
    <n v="71363"/>
    <x v="2"/>
    <s v="Professional"/>
    <s v="Yes"/>
    <n v="0"/>
    <x v="1"/>
    <x v="1"/>
    <x v="42"/>
    <x v="3"/>
    <x v="0"/>
  </r>
  <r>
    <n v="494"/>
    <x v="1"/>
    <x v="0"/>
    <n v="111068"/>
    <x v="3"/>
    <s v="Professional"/>
    <s v="Yes"/>
    <n v="1"/>
    <x v="2"/>
    <x v="2"/>
    <x v="39"/>
    <x v="1"/>
    <x v="0"/>
  </r>
  <r>
    <n v="495"/>
    <x v="1"/>
    <x v="0"/>
    <n v="86541"/>
    <x v="1"/>
    <s v="Manual"/>
    <s v="No"/>
    <n v="2"/>
    <x v="2"/>
    <x v="0"/>
    <x v="11"/>
    <x v="2"/>
    <x v="0"/>
  </r>
  <r>
    <n v="496"/>
    <x v="1"/>
    <x v="0"/>
    <n v="25497"/>
    <x v="0"/>
    <s v="Manual"/>
    <s v="Yes"/>
    <n v="1"/>
    <x v="0"/>
    <x v="0"/>
    <x v="14"/>
    <x v="3"/>
    <x v="0"/>
  </r>
  <r>
    <n v="497"/>
    <x v="1"/>
    <x v="0"/>
    <n v="51302"/>
    <x v="1"/>
    <s v="Skilled Manual"/>
    <s v="No"/>
    <n v="3"/>
    <x v="4"/>
    <x v="3"/>
    <x v="23"/>
    <x v="3"/>
    <x v="0"/>
  </r>
  <r>
    <n v="498"/>
    <x v="1"/>
    <x v="0"/>
    <n v="63180"/>
    <x v="2"/>
    <s v="Manual"/>
    <s v="No"/>
    <n v="0"/>
    <x v="4"/>
    <x v="1"/>
    <x v="20"/>
    <x v="3"/>
    <x v="0"/>
  </r>
  <r>
    <n v="499"/>
    <x v="0"/>
    <x v="1"/>
    <n v="74110"/>
    <x v="2"/>
    <s v="Skilled Manual"/>
    <s v="No"/>
    <n v="3"/>
    <x v="3"/>
    <x v="1"/>
    <x v="35"/>
    <x v="3"/>
    <x v="0"/>
  </r>
  <r>
    <n v="500"/>
    <x v="0"/>
    <x v="0"/>
    <n v="112281"/>
    <x v="0"/>
    <s v="Skilled Manual"/>
    <s v="No"/>
    <n v="3"/>
    <x v="2"/>
    <x v="3"/>
    <x v="18"/>
    <x v="1"/>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5F631EC-9754-48A5-9A75-32088CF182DD}" name="PivotTable6"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58:D107" firstHeaderRow="1" firstDataRow="2" firstDataCol="1"/>
  <pivotFields count="13">
    <pivotField showAll="0"/>
    <pivotField showAll="0"/>
    <pivotField showAll="0"/>
    <pivotField showAll="0"/>
    <pivotField showAll="0"/>
    <pivotField showAll="0"/>
    <pivotField showAll="0"/>
    <pivotField showAll="0"/>
    <pivotField showAll="0"/>
    <pivotField showAll="0"/>
    <pivotField axis="axisRow" showAll="0">
      <items count="44">
        <item x="32"/>
        <item x="1"/>
        <item x="8"/>
        <item x="41"/>
        <item x="39"/>
        <item x="7"/>
        <item x="12"/>
        <item x="18"/>
        <item x="17"/>
        <item x="22"/>
        <item x="29"/>
        <item x="37"/>
        <item x="38"/>
        <item x="0"/>
        <item x="34"/>
        <item x="9"/>
        <item x="23"/>
        <item x="26"/>
        <item x="4"/>
        <item x="10"/>
        <item x="28"/>
        <item x="24"/>
        <item x="33"/>
        <item x="6"/>
        <item x="16"/>
        <item x="27"/>
        <item x="30"/>
        <item x="21"/>
        <item x="19"/>
        <item x="40"/>
        <item x="3"/>
        <item x="42"/>
        <item x="20"/>
        <item x="14"/>
        <item x="31"/>
        <item x="35"/>
        <item x="13"/>
        <item x="11"/>
        <item x="15"/>
        <item x="36"/>
        <item x="2"/>
        <item x="25"/>
        <item x="5"/>
        <item t="default"/>
      </items>
    </pivotField>
    <pivotField axis="axisRow" showAll="0">
      <items count="5">
        <item x="1"/>
        <item x="0"/>
        <item x="3"/>
        <item x="2"/>
        <item t="default"/>
      </items>
    </pivotField>
    <pivotField axis="axisCol" dataField="1" showAll="0">
      <items count="3">
        <item x="0"/>
        <item x="1"/>
        <item t="default"/>
      </items>
    </pivotField>
  </pivotFields>
  <rowFields count="2">
    <field x="11"/>
    <field x="10"/>
  </rowFields>
  <rowItems count="48">
    <i>
      <x/>
    </i>
    <i r="1">
      <x/>
    </i>
    <i r="1">
      <x v="1"/>
    </i>
    <i r="1">
      <x v="2"/>
    </i>
    <i r="1">
      <x v="3"/>
    </i>
    <i r="1">
      <x v="4"/>
    </i>
    <i r="1">
      <x v="5"/>
    </i>
    <i r="1">
      <x v="6"/>
    </i>
    <i r="1">
      <x v="7"/>
    </i>
    <i r="1">
      <x v="8"/>
    </i>
    <i r="1">
      <x v="9"/>
    </i>
    <i r="1">
      <x v="10"/>
    </i>
    <i r="1">
      <x v="11"/>
    </i>
    <i r="1">
      <x v="12"/>
    </i>
    <i>
      <x v="1"/>
    </i>
    <i r="1">
      <x v="13"/>
    </i>
    <i>
      <x v="2"/>
    </i>
    <i r="1">
      <x v="14"/>
    </i>
    <i r="1">
      <x v="15"/>
    </i>
    <i r="1">
      <x v="16"/>
    </i>
    <i r="1">
      <x v="17"/>
    </i>
    <i r="1">
      <x v="18"/>
    </i>
    <i r="1">
      <x v="19"/>
    </i>
    <i r="1">
      <x v="20"/>
    </i>
    <i r="1">
      <x v="21"/>
    </i>
    <i r="1">
      <x v="22"/>
    </i>
    <i r="1">
      <x v="23"/>
    </i>
    <i r="1">
      <x v="24"/>
    </i>
    <i r="1">
      <x v="25"/>
    </i>
    <i r="1">
      <x v="26"/>
    </i>
    <i r="1">
      <x v="27"/>
    </i>
    <i r="1">
      <x v="28"/>
    </i>
    <i r="1">
      <x v="29"/>
    </i>
    <i r="1">
      <x v="30"/>
    </i>
    <i r="1">
      <x v="31"/>
    </i>
    <i r="1">
      <x v="32"/>
    </i>
    <i r="1">
      <x v="33"/>
    </i>
    <i r="1">
      <x v="34"/>
    </i>
    <i r="1">
      <x v="35"/>
    </i>
    <i r="1">
      <x v="36"/>
    </i>
    <i>
      <x v="3"/>
    </i>
    <i r="1">
      <x v="37"/>
    </i>
    <i r="1">
      <x v="38"/>
    </i>
    <i r="1">
      <x v="39"/>
    </i>
    <i r="1">
      <x v="40"/>
    </i>
    <i r="1">
      <x v="41"/>
    </i>
    <i r="1">
      <x v="42"/>
    </i>
    <i t="grand">
      <x/>
    </i>
  </rowItems>
  <colFields count="1">
    <field x="12"/>
  </colFields>
  <colItems count="3">
    <i>
      <x/>
    </i>
    <i>
      <x v="1"/>
    </i>
    <i t="grand">
      <x/>
    </i>
  </colItems>
  <dataFields count="1">
    <dataField name="Count of Purchased Bike" fld="12" subtotal="count" baseField="0" baseItem="0"/>
  </dataFields>
  <chartFormats count="4">
    <chartFormat chart="0" format="0" series="1">
      <pivotArea type="data" outline="0" fieldPosition="0">
        <references count="2">
          <reference field="4294967294" count="1" selected="0">
            <x v="0"/>
          </reference>
          <reference field="12" count="1" selected="0">
            <x v="0"/>
          </reference>
        </references>
      </pivotArea>
    </chartFormat>
    <chartFormat chart="0" format="1" series="1">
      <pivotArea type="data" outline="0" fieldPosition="0">
        <references count="2">
          <reference field="4294967294" count="1" selected="0">
            <x v="0"/>
          </reference>
          <reference field="12" count="1" selected="0">
            <x v="1"/>
          </reference>
        </references>
      </pivotArea>
    </chartFormat>
    <chartFormat chart="1" format="0" series="1">
      <pivotArea type="data" outline="0" fieldPosition="0">
        <references count="2">
          <reference field="4294967294" count="1" selected="0">
            <x v="0"/>
          </reference>
          <reference field="12" count="1" selected="0">
            <x v="0"/>
          </reference>
        </references>
      </pivotArea>
    </chartFormat>
    <chartFormat chart="1" format="1" series="1">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BC82F36-1EDC-47AA-95F0-37D64D4E9815}" name="PivotTable5"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44:D50" firstHeaderRow="1" firstDataRow="2" firstDataCol="1"/>
  <pivotFields count="13">
    <pivotField showAll="0"/>
    <pivotField showAll="0"/>
    <pivotField showAll="0"/>
    <pivotField showAll="0"/>
    <pivotField showAll="0"/>
    <pivotField showAll="0"/>
    <pivotField showAll="0"/>
    <pivotField showAll="0"/>
    <pivotField showAll="0"/>
    <pivotField showAll="0"/>
    <pivotField showAll="0"/>
    <pivotField axis="axisRow" showAll="0">
      <items count="5">
        <item x="1"/>
        <item x="0"/>
        <item x="3"/>
        <item x="2"/>
        <item t="default"/>
      </items>
    </pivotField>
    <pivotField axis="axisCol" dataField="1" showAll="0">
      <items count="3">
        <item x="0"/>
        <item x="1"/>
        <item t="default"/>
      </items>
    </pivotField>
  </pivotFields>
  <rowFields count="1">
    <field x="11"/>
  </rowFields>
  <rowItems count="5">
    <i>
      <x/>
    </i>
    <i>
      <x v="1"/>
    </i>
    <i>
      <x v="2"/>
    </i>
    <i>
      <x v="3"/>
    </i>
    <i t="grand">
      <x/>
    </i>
  </rowItems>
  <colFields count="1">
    <field x="12"/>
  </colFields>
  <colItems count="3">
    <i>
      <x/>
    </i>
    <i>
      <x v="1"/>
    </i>
    <i t="grand">
      <x/>
    </i>
  </colItems>
  <dataFields count="1">
    <dataField name="Count of Purchased Bike" fld="12" subtotal="count" baseField="0" baseItem="0"/>
  </dataFields>
  <chartFormats count="4">
    <chartFormat chart="0" format="0" series="1">
      <pivotArea type="data" outline="0" fieldPosition="0">
        <references count="2">
          <reference field="4294967294" count="1" selected="0">
            <x v="0"/>
          </reference>
          <reference field="12" count="1" selected="0">
            <x v="0"/>
          </reference>
        </references>
      </pivotArea>
    </chartFormat>
    <chartFormat chart="0" format="1" series="1">
      <pivotArea type="data" outline="0" fieldPosition="0">
        <references count="2">
          <reference field="4294967294" count="1" selected="0">
            <x v="0"/>
          </reference>
          <reference field="12" count="1" selected="0">
            <x v="1"/>
          </reference>
        </references>
      </pivotArea>
    </chartFormat>
    <chartFormat chart="6" format="4" series="1">
      <pivotArea type="data" outline="0" fieldPosition="0">
        <references count="2">
          <reference field="4294967294" count="1" selected="0">
            <x v="0"/>
          </reference>
          <reference field="12" count="1" selected="0">
            <x v="0"/>
          </reference>
        </references>
      </pivotArea>
    </chartFormat>
    <chartFormat chart="6" format="5" series="1">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6A50201-52BD-48CF-BB16-6D4927D37617}" name="PivotTable3"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6:D22" firstHeaderRow="1" firstDataRow="2" firstDataCol="1"/>
  <pivotFields count="13">
    <pivotField showAll="0"/>
    <pivotField showAll="0"/>
    <pivotField showAll="0"/>
    <pivotField showAll="0"/>
    <pivotField showAll="0"/>
    <pivotField showAll="0"/>
    <pivotField showAll="0"/>
    <pivotField showAll="0"/>
    <pivotField axis="axisRow" showAll="0">
      <items count="6">
        <item x="0"/>
        <item x="2"/>
        <item x="4"/>
        <item x="3"/>
        <item x="1"/>
        <item t="default"/>
      </items>
    </pivotField>
    <pivotField showAll="0"/>
    <pivotField showAll="0">
      <items count="44">
        <item h="1" x="32"/>
        <item h="1" x="1"/>
        <item h="1" x="8"/>
        <item x="41"/>
        <item h="1" x="39"/>
        <item h="1" x="7"/>
        <item h="1" x="12"/>
        <item h="1" x="18"/>
        <item h="1" x="17"/>
        <item h="1" x="22"/>
        <item h="1" x="29"/>
        <item h="1" x="37"/>
        <item h="1" x="38"/>
        <item h="1" x="0"/>
        <item h="1" x="34"/>
        <item h="1" x="9"/>
        <item h="1" x="23"/>
        <item h="1" x="26"/>
        <item h="1" x="4"/>
        <item h="1" x="10"/>
        <item h="1" x="28"/>
        <item h="1" x="24"/>
        <item h="1" x="33"/>
        <item h="1" x="6"/>
        <item h="1" x="16"/>
        <item h="1" x="27"/>
        <item h="1" x="30"/>
        <item h="1" x="21"/>
        <item h="1" x="19"/>
        <item h="1" x="40"/>
        <item h="1" x="3"/>
        <item h="1" x="42"/>
        <item h="1" x="20"/>
        <item h="1" x="14"/>
        <item h="1" x="31"/>
        <item h="1" x="35"/>
        <item h="1" x="13"/>
        <item h="1" x="11"/>
        <item h="1" x="15"/>
        <item h="1" x="36"/>
        <item h="1" x="2"/>
        <item h="1" x="25"/>
        <item h="1" x="5"/>
        <item t="default"/>
      </items>
    </pivotField>
    <pivotField showAll="0"/>
    <pivotField axis="axisCol" dataField="1" showAll="0">
      <items count="3">
        <item x="0"/>
        <item x="1"/>
        <item t="default"/>
      </items>
    </pivotField>
  </pivotFields>
  <rowFields count="1">
    <field x="8"/>
  </rowFields>
  <rowItems count="5">
    <i>
      <x/>
    </i>
    <i>
      <x v="1"/>
    </i>
    <i>
      <x v="2"/>
    </i>
    <i>
      <x v="4"/>
    </i>
    <i t="grand">
      <x/>
    </i>
  </rowItems>
  <colFields count="1">
    <field x="12"/>
  </colFields>
  <colItems count="3">
    <i>
      <x/>
    </i>
    <i>
      <x v="1"/>
    </i>
    <i t="grand">
      <x/>
    </i>
  </colItems>
  <dataFields count="1">
    <dataField name="Count of Purchased Bike" fld="12" subtotal="count" baseField="0" baseItem="0"/>
  </dataFields>
  <chartFormats count="4">
    <chartFormat chart="0" format="0" series="1">
      <pivotArea type="data" outline="0" fieldPosition="0">
        <references count="2">
          <reference field="4294967294" count="1" selected="0">
            <x v="0"/>
          </reference>
          <reference field="12" count="1" selected="0">
            <x v="0"/>
          </reference>
        </references>
      </pivotArea>
    </chartFormat>
    <chartFormat chart="0" format="1" series="1">
      <pivotArea type="data" outline="0" fieldPosition="0">
        <references count="2">
          <reference field="4294967294" count="1" selected="0">
            <x v="0"/>
          </reference>
          <reference field="12" count="1" selected="0">
            <x v="1"/>
          </reference>
        </references>
      </pivotArea>
    </chartFormat>
    <chartFormat chart="4" format="4" series="1">
      <pivotArea type="data" outline="0" fieldPosition="0">
        <references count="2">
          <reference field="4294967294" count="1" selected="0">
            <x v="0"/>
          </reference>
          <reference field="12" count="1" selected="0">
            <x v="0"/>
          </reference>
        </references>
      </pivotArea>
    </chartFormat>
    <chartFormat chart="4" format="5" series="1">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22D3850-A8BD-4D17-9FE1-ECC98F0B2926}" name="PivotTable2"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D7" firstHeaderRow="1" firstDataRow="2" firstDataCol="1"/>
  <pivotFields count="13">
    <pivotField dataField="1" showAll="0"/>
    <pivotField axis="axisRow" showAll="0">
      <items count="4">
        <item x="0"/>
        <item x="2"/>
        <item x="1"/>
        <item t="default"/>
      </items>
    </pivotField>
    <pivotField showAll="0">
      <items count="3">
        <item x="1"/>
        <item h="1" x="0"/>
        <item t="default"/>
      </items>
    </pivotField>
    <pivotField showAll="0"/>
    <pivotField showAll="0">
      <items count="5">
        <item h="1" x="0"/>
        <item x="3"/>
        <item h="1" x="1"/>
        <item h="1" x="2"/>
        <item t="default"/>
      </items>
    </pivotField>
    <pivotField showAll="0"/>
    <pivotField showAll="0"/>
    <pivotField showAll="0"/>
    <pivotField showAll="0"/>
    <pivotField showAll="0">
      <items count="5">
        <item h="1" x="1"/>
        <item h="1" x="0"/>
        <item h="1" x="3"/>
        <item x="2"/>
        <item t="default"/>
      </items>
    </pivotField>
    <pivotField showAll="0"/>
    <pivotField showAll="0"/>
    <pivotField axis="axisCol" showAll="0">
      <items count="3">
        <item x="0"/>
        <item x="1"/>
        <item t="default"/>
      </items>
    </pivotField>
  </pivotFields>
  <rowFields count="1">
    <field x="1"/>
  </rowFields>
  <rowItems count="3">
    <i>
      <x/>
    </i>
    <i>
      <x v="2"/>
    </i>
    <i t="grand">
      <x/>
    </i>
  </rowItems>
  <colFields count="1">
    <field x="12"/>
  </colFields>
  <colItems count="3">
    <i>
      <x/>
    </i>
    <i>
      <x v="1"/>
    </i>
    <i t="grand">
      <x/>
    </i>
  </colItems>
  <dataFields count="1">
    <dataField name="Average of Id" fld="0" subtotal="average" baseField="1" baseItem="1" numFmtId="43"/>
  </dataFields>
  <formats count="6">
    <format dxfId="221">
      <pivotArea type="all" dataOnly="0" outline="0" fieldPosition="0"/>
    </format>
    <format dxfId="220">
      <pivotArea outline="0" collapsedLevelsAreSubtotals="1" fieldPosition="0"/>
    </format>
    <format dxfId="219">
      <pivotArea field="12" type="button" dataOnly="0" labelOnly="1" outline="0" axis="axisCol" fieldPosition="0"/>
    </format>
    <format dxfId="218">
      <pivotArea type="topRight" dataOnly="0" labelOnly="1" outline="0" fieldPosition="0"/>
    </format>
    <format dxfId="217">
      <pivotArea dataOnly="0" labelOnly="1" fieldPosition="0">
        <references count="1">
          <reference field="12" count="0"/>
        </references>
      </pivotArea>
    </format>
    <format dxfId="216">
      <pivotArea dataOnly="0" labelOnly="1" grandCol="1" outline="0" fieldPosition="0"/>
    </format>
  </formats>
  <chartFormats count="4">
    <chartFormat chart="0" format="0" series="1">
      <pivotArea type="data" outline="0" fieldPosition="0">
        <references count="2">
          <reference field="4294967294" count="1" selected="0">
            <x v="0"/>
          </reference>
          <reference field="12" count="1" selected="0">
            <x v="0"/>
          </reference>
        </references>
      </pivotArea>
    </chartFormat>
    <chartFormat chart="0" format="1" series="1">
      <pivotArea type="data" outline="0" fieldPosition="0">
        <references count="2">
          <reference field="4294967294" count="1" selected="0">
            <x v="0"/>
          </reference>
          <reference field="12" count="1" selected="0">
            <x v="1"/>
          </reference>
        </references>
      </pivotArea>
    </chartFormat>
    <chartFormat chart="6" format="4" series="1">
      <pivotArea type="data" outline="0" fieldPosition="0">
        <references count="2">
          <reference field="4294967294" count="1" selected="0">
            <x v="0"/>
          </reference>
          <reference field="12" count="1" selected="0">
            <x v="0"/>
          </reference>
        </references>
      </pivotArea>
    </chartFormat>
    <chartFormat chart="6" format="5" series="1">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7E6D3A74-579C-4E79-A848-4379016997D0}" sourceName="Marital Status">
  <pivotTables>
    <pivotTable tabId="8" name="PivotTable2"/>
  </pivotTables>
  <data>
    <tabular pivotCacheId="38952352">
      <items count="2">
        <i x="1" s="1"/>
        <i x="0"/>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95DB0F8-7D64-4D9D-8E3B-6A90BC159981}" sourceName="Region">
  <pivotTables>
    <pivotTable tabId="8" name="PivotTable2"/>
  </pivotTables>
  <data>
    <tabular pivotCacheId="38952352">
      <items count="4">
        <i x="1"/>
        <i x="0"/>
        <i x="3"/>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580B77DC-F17C-4FBA-8E35-2F7A8D5BC93C}" sourceName="Education">
  <pivotTables>
    <pivotTable tabId="8" name="PivotTable2"/>
  </pivotTables>
  <data>
    <tabular pivotCacheId="38952352">
      <items count="4">
        <i x="0"/>
        <i x="3" s="1"/>
        <i x="1"/>
        <i x="2"/>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 xr10:uid="{D4360252-0F6C-431E-AD41-7977BD60DDAD}" sourceName="Age">
  <pivotTables>
    <pivotTable tabId="8" name="PivotTable3"/>
  </pivotTables>
  <data>
    <tabular pivotCacheId="38952352">
      <items count="43">
        <i x="32"/>
        <i x="1"/>
        <i x="8"/>
        <i x="41" s="1"/>
        <i x="39"/>
        <i x="7"/>
        <i x="12"/>
        <i x="18"/>
        <i x="17"/>
        <i x="22"/>
        <i x="29"/>
        <i x="37"/>
        <i x="38"/>
        <i x="0"/>
        <i x="34"/>
        <i x="9"/>
        <i x="23"/>
        <i x="26"/>
        <i x="4"/>
        <i x="10"/>
        <i x="28"/>
        <i x="24"/>
        <i x="33"/>
        <i x="6"/>
        <i x="16"/>
        <i x="27"/>
        <i x="30"/>
        <i x="21"/>
        <i x="19"/>
        <i x="40"/>
        <i x="3"/>
        <i x="42"/>
        <i x="20"/>
        <i x="14"/>
        <i x="31"/>
        <i x="35"/>
        <i x="13"/>
        <i x="11"/>
        <i x="15"/>
        <i x="36"/>
        <i x="2"/>
        <i x="25"/>
        <i x="5"/>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053B6809-0CE5-4CE6-B583-966ABA8C36F9}" cache="Slicer_Marital_Status" caption="Marital Status" rowHeight="234950"/>
  <slicer name="Region" xr10:uid="{692B20B1-4319-47EE-9DC3-5A3D66E79356}" cache="Slicer_Region" caption="Region" rowHeight="234950"/>
  <slicer name="Education" xr10:uid="{7325254E-C97A-4550-ADDE-680E3565C221}" cache="Slicer_Education" caption="Education" rowHeight="234950"/>
  <slicer name="Age" xr10:uid="{D53845A5-B2C9-4AAC-8C43-6A13CBE38790}" cache="Slicer_Age" caption="Age" startItem="3"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501"/>
  <sheetViews>
    <sheetView workbookViewId="0">
      <selection activeCell="E512" sqref="E512"/>
    </sheetView>
  </sheetViews>
  <sheetFormatPr defaultRowHeight="14.4" x14ac:dyDescent="0.3"/>
  <cols>
    <col min="2" max="2" width="9.6640625" customWidth="1"/>
    <col min="13" max="14" width="9.109375" customWidth="1"/>
  </cols>
  <sheetData>
    <row r="1" spans="1:13" x14ac:dyDescent="0.3">
      <c r="A1" t="s">
        <v>0</v>
      </c>
      <c r="B1" s="5" t="s">
        <v>39</v>
      </c>
      <c r="C1" t="s">
        <v>1</v>
      </c>
      <c r="D1" t="s">
        <v>2</v>
      </c>
      <c r="E1" t="s">
        <v>3</v>
      </c>
      <c r="F1" t="s">
        <v>4</v>
      </c>
      <c r="G1" t="s">
        <v>5</v>
      </c>
      <c r="H1" t="s">
        <v>6</v>
      </c>
      <c r="I1" t="s">
        <v>7</v>
      </c>
      <c r="J1" t="s">
        <v>8</v>
      </c>
      <c r="K1" t="s">
        <v>9</v>
      </c>
      <c r="L1" t="s">
        <v>10</v>
      </c>
      <c r="M1" t="s">
        <v>11</v>
      </c>
    </row>
    <row r="2" spans="1:13" x14ac:dyDescent="0.3">
      <c r="A2">
        <v>1</v>
      </c>
      <c r="B2" t="s">
        <v>40</v>
      </c>
      <c r="C2" t="s">
        <v>12</v>
      </c>
      <c r="D2">
        <v>73038</v>
      </c>
      <c r="E2" t="s">
        <v>13</v>
      </c>
      <c r="F2" t="s">
        <v>14</v>
      </c>
      <c r="G2" t="s">
        <v>15</v>
      </c>
      <c r="H2">
        <v>2</v>
      </c>
      <c r="I2" t="s">
        <v>16</v>
      </c>
      <c r="J2" t="s">
        <v>17</v>
      </c>
      <c r="K2">
        <v>31</v>
      </c>
      <c r="L2" t="s">
        <v>18</v>
      </c>
      <c r="M2" t="s">
        <v>15</v>
      </c>
    </row>
    <row r="3" spans="1:13" x14ac:dyDescent="0.3">
      <c r="A3">
        <v>2</v>
      </c>
      <c r="B3" t="s">
        <v>41</v>
      </c>
      <c r="C3" t="s">
        <v>19</v>
      </c>
      <c r="D3">
        <v>112766</v>
      </c>
      <c r="E3" t="s">
        <v>20</v>
      </c>
      <c r="F3" t="s">
        <v>21</v>
      </c>
      <c r="G3" t="s">
        <v>22</v>
      </c>
      <c r="H3">
        <v>0</v>
      </c>
      <c r="I3" t="s">
        <v>23</v>
      </c>
      <c r="J3" t="s">
        <v>24</v>
      </c>
      <c r="K3">
        <v>19</v>
      </c>
      <c r="L3" t="s">
        <v>25</v>
      </c>
      <c r="M3" t="s">
        <v>22</v>
      </c>
    </row>
    <row r="4" spans="1:13" x14ac:dyDescent="0.3">
      <c r="A4">
        <v>3</v>
      </c>
      <c r="B4" t="s">
        <v>41</v>
      </c>
      <c r="C4" t="s">
        <v>12</v>
      </c>
      <c r="D4">
        <v>70573</v>
      </c>
      <c r="E4" t="s">
        <v>26</v>
      </c>
      <c r="F4" t="s">
        <v>14</v>
      </c>
      <c r="G4" t="s">
        <v>15</v>
      </c>
      <c r="H4">
        <v>3</v>
      </c>
      <c r="I4" t="s">
        <v>27</v>
      </c>
      <c r="J4" t="s">
        <v>28</v>
      </c>
      <c r="K4">
        <v>58</v>
      </c>
      <c r="L4" t="s">
        <v>29</v>
      </c>
      <c r="M4" t="s">
        <v>15</v>
      </c>
    </row>
    <row r="5" spans="1:13" x14ac:dyDescent="0.3">
      <c r="A5">
        <v>4</v>
      </c>
      <c r="B5" t="s">
        <v>40</v>
      </c>
      <c r="C5" t="s">
        <v>19</v>
      </c>
      <c r="D5">
        <v>56130</v>
      </c>
      <c r="E5" t="s">
        <v>20</v>
      </c>
      <c r="F5" t="s">
        <v>14</v>
      </c>
      <c r="G5" t="s">
        <v>22</v>
      </c>
      <c r="H5">
        <v>1</v>
      </c>
      <c r="I5" t="s">
        <v>16</v>
      </c>
      <c r="J5" t="s">
        <v>24</v>
      </c>
      <c r="K5">
        <v>48</v>
      </c>
      <c r="L5" t="s">
        <v>30</v>
      </c>
      <c r="M5" t="s">
        <v>15</v>
      </c>
    </row>
    <row r="6" spans="1:13" x14ac:dyDescent="0.3">
      <c r="A6">
        <v>5</v>
      </c>
      <c r="B6" t="s">
        <v>41</v>
      </c>
      <c r="C6" t="s">
        <v>19</v>
      </c>
      <c r="D6">
        <v>104427</v>
      </c>
      <c r="E6" t="s">
        <v>31</v>
      </c>
      <c r="F6" t="s">
        <v>32</v>
      </c>
      <c r="G6" t="s">
        <v>22</v>
      </c>
      <c r="H6">
        <v>0</v>
      </c>
      <c r="I6" t="s">
        <v>27</v>
      </c>
      <c r="J6" t="s">
        <v>17</v>
      </c>
      <c r="K6">
        <v>36</v>
      </c>
      <c r="L6" t="s">
        <v>18</v>
      </c>
      <c r="M6" t="s">
        <v>22</v>
      </c>
    </row>
    <row r="7" spans="1:13" x14ac:dyDescent="0.3">
      <c r="A7">
        <v>6</v>
      </c>
      <c r="B7" t="s">
        <v>40</v>
      </c>
      <c r="C7" t="s">
        <v>19</v>
      </c>
      <c r="D7">
        <v>47238</v>
      </c>
      <c r="E7" t="s">
        <v>20</v>
      </c>
      <c r="F7" t="s">
        <v>21</v>
      </c>
      <c r="G7" t="s">
        <v>22</v>
      </c>
      <c r="H7">
        <v>3</v>
      </c>
      <c r="I7" t="s">
        <v>33</v>
      </c>
      <c r="J7" t="s">
        <v>34</v>
      </c>
      <c r="K7">
        <v>31</v>
      </c>
      <c r="L7" t="s">
        <v>18</v>
      </c>
      <c r="M7" t="s">
        <v>15</v>
      </c>
    </row>
    <row r="8" spans="1:13" x14ac:dyDescent="0.3">
      <c r="A8">
        <v>7</v>
      </c>
      <c r="B8" t="s">
        <v>41</v>
      </c>
      <c r="C8" t="s">
        <v>12</v>
      </c>
      <c r="D8">
        <v>26086</v>
      </c>
      <c r="E8" t="s">
        <v>31</v>
      </c>
      <c r="F8" t="s">
        <v>35</v>
      </c>
      <c r="G8" t="s">
        <v>15</v>
      </c>
      <c r="H8">
        <v>0</v>
      </c>
      <c r="I8" t="s">
        <v>16</v>
      </c>
      <c r="J8" t="s">
        <v>34</v>
      </c>
      <c r="K8">
        <v>60</v>
      </c>
      <c r="L8" t="s">
        <v>29</v>
      </c>
      <c r="M8" t="s">
        <v>15</v>
      </c>
    </row>
    <row r="9" spans="1:13" x14ac:dyDescent="0.3">
      <c r="A9">
        <v>8</v>
      </c>
      <c r="B9" t="s">
        <v>40</v>
      </c>
      <c r="C9" t="s">
        <v>19</v>
      </c>
      <c r="D9">
        <v>28166</v>
      </c>
      <c r="E9" t="s">
        <v>20</v>
      </c>
      <c r="F9" t="s">
        <v>36</v>
      </c>
      <c r="G9" t="s">
        <v>15</v>
      </c>
      <c r="H9">
        <v>2</v>
      </c>
      <c r="I9" t="s">
        <v>37</v>
      </c>
      <c r="J9" t="s">
        <v>34</v>
      </c>
      <c r="K9">
        <v>41</v>
      </c>
      <c r="L9" t="s">
        <v>30</v>
      </c>
      <c r="M9" t="s">
        <v>15</v>
      </c>
    </row>
    <row r="10" spans="1:13" x14ac:dyDescent="0.3">
      <c r="A10">
        <v>9</v>
      </c>
      <c r="B10" t="s">
        <v>41</v>
      </c>
      <c r="C10" t="s">
        <v>19</v>
      </c>
      <c r="D10">
        <v>50094</v>
      </c>
      <c r="E10" t="s">
        <v>20</v>
      </c>
      <c r="F10" t="s">
        <v>35</v>
      </c>
      <c r="G10" t="s">
        <v>15</v>
      </c>
      <c r="H10">
        <v>0</v>
      </c>
      <c r="I10" t="s">
        <v>16</v>
      </c>
      <c r="J10" t="s">
        <v>34</v>
      </c>
      <c r="K10">
        <v>41</v>
      </c>
      <c r="L10" t="s">
        <v>30</v>
      </c>
      <c r="M10" t="s">
        <v>15</v>
      </c>
    </row>
    <row r="11" spans="1:13" x14ac:dyDescent="0.3">
      <c r="A11">
        <v>10</v>
      </c>
      <c r="B11" t="s">
        <v>40</v>
      </c>
      <c r="C11" t="s">
        <v>12</v>
      </c>
      <c r="D11">
        <v>79657</v>
      </c>
      <c r="E11" t="s">
        <v>31</v>
      </c>
      <c r="F11" t="s">
        <v>32</v>
      </c>
      <c r="G11" t="s">
        <v>22</v>
      </c>
      <c r="H11">
        <v>1</v>
      </c>
      <c r="I11" t="s">
        <v>27</v>
      </c>
      <c r="J11" t="s">
        <v>34</v>
      </c>
      <c r="K11">
        <v>23</v>
      </c>
      <c r="L11" t="s">
        <v>38</v>
      </c>
      <c r="M11" t="s">
        <v>15</v>
      </c>
    </row>
    <row r="12" spans="1:13" x14ac:dyDescent="0.3">
      <c r="A12">
        <v>11</v>
      </c>
      <c r="B12" t="s">
        <v>40</v>
      </c>
      <c r="C12" t="s">
        <v>19</v>
      </c>
      <c r="D12">
        <v>54840</v>
      </c>
      <c r="E12" t="s">
        <v>13</v>
      </c>
      <c r="F12" t="s">
        <v>21</v>
      </c>
      <c r="G12" t="s">
        <v>15</v>
      </c>
      <c r="H12">
        <v>3</v>
      </c>
      <c r="I12" t="s">
        <v>33</v>
      </c>
      <c r="J12" t="s">
        <v>17</v>
      </c>
      <c r="K12">
        <v>20</v>
      </c>
      <c r="L12" t="s">
        <v>25</v>
      </c>
      <c r="M12" t="s">
        <v>15</v>
      </c>
    </row>
    <row r="13" spans="1:13" x14ac:dyDescent="0.3">
      <c r="A13">
        <v>12</v>
      </c>
      <c r="B13" t="s">
        <v>41</v>
      </c>
      <c r="C13" t="s">
        <v>19</v>
      </c>
      <c r="D13">
        <v>44876</v>
      </c>
      <c r="E13" t="s">
        <v>31</v>
      </c>
      <c r="F13" t="s">
        <v>21</v>
      </c>
      <c r="G13" t="s">
        <v>15</v>
      </c>
      <c r="H13">
        <v>1</v>
      </c>
      <c r="I13" t="s">
        <v>27</v>
      </c>
      <c r="J13" t="s">
        <v>28</v>
      </c>
      <c r="K13">
        <v>33</v>
      </c>
      <c r="L13" t="s">
        <v>18</v>
      </c>
      <c r="M13" t="s">
        <v>15</v>
      </c>
    </row>
    <row r="14" spans="1:13" x14ac:dyDescent="0.3">
      <c r="A14">
        <v>13</v>
      </c>
      <c r="B14" t="s">
        <v>41</v>
      </c>
      <c r="C14" t="s">
        <v>19</v>
      </c>
      <c r="D14">
        <v>94089</v>
      </c>
      <c r="E14" t="s">
        <v>20</v>
      </c>
      <c r="F14" t="s">
        <v>32</v>
      </c>
      <c r="G14" t="s">
        <v>15</v>
      </c>
      <c r="H14">
        <v>2</v>
      </c>
      <c r="I14" t="s">
        <v>27</v>
      </c>
      <c r="J14" t="s">
        <v>28</v>
      </c>
      <c r="K14">
        <v>37</v>
      </c>
      <c r="L14" t="s">
        <v>18</v>
      </c>
      <c r="M14" t="s">
        <v>15</v>
      </c>
    </row>
    <row r="15" spans="1:13" x14ac:dyDescent="0.3">
      <c r="A15">
        <v>14</v>
      </c>
      <c r="B15" t="s">
        <v>40</v>
      </c>
      <c r="C15" t="s">
        <v>19</v>
      </c>
      <c r="D15">
        <v>97403</v>
      </c>
      <c r="E15" t="s">
        <v>26</v>
      </c>
      <c r="F15" t="s">
        <v>35</v>
      </c>
      <c r="G15" t="s">
        <v>22</v>
      </c>
      <c r="H15">
        <v>3</v>
      </c>
      <c r="I15" t="s">
        <v>27</v>
      </c>
      <c r="J15" t="s">
        <v>28</v>
      </c>
      <c r="K15">
        <v>55</v>
      </c>
      <c r="L15" t="s">
        <v>29</v>
      </c>
      <c r="M15" t="s">
        <v>15</v>
      </c>
    </row>
    <row r="16" spans="1:13" x14ac:dyDescent="0.3">
      <c r="A16">
        <v>15</v>
      </c>
      <c r="B16" t="s">
        <v>40</v>
      </c>
      <c r="C16" t="s">
        <v>12</v>
      </c>
      <c r="D16">
        <v>56958</v>
      </c>
      <c r="E16" t="s">
        <v>13</v>
      </c>
      <c r="F16" t="s">
        <v>32</v>
      </c>
      <c r="G16" t="s">
        <v>22</v>
      </c>
      <c r="H16">
        <v>1</v>
      </c>
      <c r="I16" t="s">
        <v>33</v>
      </c>
      <c r="J16" t="s">
        <v>34</v>
      </c>
      <c r="K16">
        <v>24</v>
      </c>
      <c r="L16" t="s">
        <v>38</v>
      </c>
      <c r="M16" t="s">
        <v>22</v>
      </c>
    </row>
    <row r="17" spans="1:13" x14ac:dyDescent="0.3">
      <c r="A17">
        <v>16</v>
      </c>
      <c r="B17" t="s">
        <v>41</v>
      </c>
      <c r="C17" t="s">
        <v>12</v>
      </c>
      <c r="D17">
        <v>29402</v>
      </c>
      <c r="E17" t="s">
        <v>31</v>
      </c>
      <c r="F17" t="s">
        <v>35</v>
      </c>
      <c r="G17" t="s">
        <v>22</v>
      </c>
      <c r="H17">
        <v>0</v>
      </c>
      <c r="I17" t="s">
        <v>33</v>
      </c>
      <c r="J17" t="s">
        <v>17</v>
      </c>
      <c r="K17">
        <v>58</v>
      </c>
      <c r="L17" t="s">
        <v>29</v>
      </c>
      <c r="M17" t="s">
        <v>15</v>
      </c>
    </row>
    <row r="18" spans="1:13" x14ac:dyDescent="0.3">
      <c r="A18">
        <v>17</v>
      </c>
      <c r="B18" t="s">
        <v>40</v>
      </c>
      <c r="C18" t="s">
        <v>12</v>
      </c>
      <c r="D18">
        <v>32178</v>
      </c>
      <c r="E18" t="s">
        <v>20</v>
      </c>
      <c r="F18" t="s">
        <v>32</v>
      </c>
      <c r="G18" t="s">
        <v>15</v>
      </c>
      <c r="H18">
        <v>3</v>
      </c>
      <c r="I18" t="s">
        <v>33</v>
      </c>
      <c r="J18" t="s">
        <v>24</v>
      </c>
      <c r="K18">
        <v>55</v>
      </c>
      <c r="L18" t="s">
        <v>29</v>
      </c>
      <c r="M18" t="s">
        <v>15</v>
      </c>
    </row>
    <row r="19" spans="1:13" x14ac:dyDescent="0.3">
      <c r="A19">
        <v>18</v>
      </c>
      <c r="B19" t="s">
        <v>41</v>
      </c>
      <c r="C19" t="s">
        <v>12</v>
      </c>
      <c r="D19">
        <v>102847</v>
      </c>
      <c r="E19" t="s">
        <v>31</v>
      </c>
      <c r="F19" t="s">
        <v>35</v>
      </c>
      <c r="G19" t="s">
        <v>22</v>
      </c>
      <c r="H19">
        <v>3</v>
      </c>
      <c r="I19" t="s">
        <v>16</v>
      </c>
      <c r="J19" t="s">
        <v>17</v>
      </c>
      <c r="K19">
        <v>54</v>
      </c>
      <c r="L19" t="s">
        <v>29</v>
      </c>
      <c r="M19" t="s">
        <v>15</v>
      </c>
    </row>
    <row r="20" spans="1:13" x14ac:dyDescent="0.3">
      <c r="A20">
        <v>19</v>
      </c>
      <c r="B20" t="s">
        <v>40</v>
      </c>
      <c r="C20" t="s">
        <v>19</v>
      </c>
      <c r="D20">
        <v>35613</v>
      </c>
      <c r="E20" t="s">
        <v>31</v>
      </c>
      <c r="F20" t="s">
        <v>35</v>
      </c>
      <c r="G20" t="s">
        <v>15</v>
      </c>
      <c r="H20">
        <v>1</v>
      </c>
      <c r="I20" t="s">
        <v>37</v>
      </c>
      <c r="J20" t="s">
        <v>24</v>
      </c>
      <c r="K20">
        <v>51</v>
      </c>
      <c r="L20" t="s">
        <v>29</v>
      </c>
      <c r="M20" t="s">
        <v>15</v>
      </c>
    </row>
    <row r="21" spans="1:13" x14ac:dyDescent="0.3">
      <c r="A21">
        <v>20</v>
      </c>
      <c r="B21" t="s">
        <v>41</v>
      </c>
      <c r="C21" t="s">
        <v>19</v>
      </c>
      <c r="D21">
        <v>96681</v>
      </c>
      <c r="E21" t="s">
        <v>20</v>
      </c>
      <c r="F21" t="s">
        <v>32</v>
      </c>
      <c r="G21" t="s">
        <v>22</v>
      </c>
      <c r="H21">
        <v>2</v>
      </c>
      <c r="I21" t="s">
        <v>33</v>
      </c>
      <c r="J21" t="s">
        <v>34</v>
      </c>
      <c r="K21">
        <v>54</v>
      </c>
      <c r="L21" t="s">
        <v>29</v>
      </c>
      <c r="M21" t="s">
        <v>15</v>
      </c>
    </row>
    <row r="22" spans="1:13" x14ac:dyDescent="0.3">
      <c r="A22">
        <v>21</v>
      </c>
      <c r="B22" t="s">
        <v>41</v>
      </c>
      <c r="C22" t="s">
        <v>12</v>
      </c>
      <c r="D22">
        <v>112711</v>
      </c>
      <c r="E22" t="s">
        <v>13</v>
      </c>
      <c r="F22" t="s">
        <v>35</v>
      </c>
      <c r="G22" t="s">
        <v>22</v>
      </c>
      <c r="H22">
        <v>1</v>
      </c>
      <c r="I22" t="s">
        <v>37</v>
      </c>
      <c r="J22" t="s">
        <v>24</v>
      </c>
      <c r="K22">
        <v>56</v>
      </c>
      <c r="L22" t="s">
        <v>29</v>
      </c>
      <c r="M22" t="s">
        <v>15</v>
      </c>
    </row>
    <row r="23" spans="1:13" x14ac:dyDescent="0.3">
      <c r="A23">
        <v>22</v>
      </c>
      <c r="B23" t="s">
        <v>40</v>
      </c>
      <c r="C23" t="s">
        <v>19</v>
      </c>
      <c r="D23">
        <v>73719</v>
      </c>
      <c r="E23" t="s">
        <v>31</v>
      </c>
      <c r="F23" t="s">
        <v>14</v>
      </c>
      <c r="G23" t="s">
        <v>22</v>
      </c>
      <c r="H23">
        <v>2</v>
      </c>
      <c r="I23" t="s">
        <v>27</v>
      </c>
      <c r="J23" t="s">
        <v>34</v>
      </c>
      <c r="K23">
        <v>42</v>
      </c>
      <c r="L23" t="s">
        <v>30</v>
      </c>
      <c r="M23" t="s">
        <v>22</v>
      </c>
    </row>
    <row r="24" spans="1:13" x14ac:dyDescent="0.3">
      <c r="A24">
        <v>23</v>
      </c>
      <c r="B24" t="s">
        <v>41</v>
      </c>
      <c r="C24" t="s">
        <v>19</v>
      </c>
      <c r="D24">
        <v>58062</v>
      </c>
      <c r="E24" t="s">
        <v>26</v>
      </c>
      <c r="F24" t="s">
        <v>32</v>
      </c>
      <c r="G24" t="s">
        <v>15</v>
      </c>
      <c r="H24">
        <v>3</v>
      </c>
      <c r="I24" t="s">
        <v>16</v>
      </c>
      <c r="J24" t="s">
        <v>24</v>
      </c>
      <c r="K24">
        <v>26</v>
      </c>
      <c r="L24" t="s">
        <v>38</v>
      </c>
      <c r="M24" t="s">
        <v>15</v>
      </c>
    </row>
    <row r="25" spans="1:13" x14ac:dyDescent="0.3">
      <c r="A25">
        <v>24</v>
      </c>
      <c r="B25" t="s">
        <v>40</v>
      </c>
      <c r="C25" t="s">
        <v>12</v>
      </c>
      <c r="D25">
        <v>75536</v>
      </c>
      <c r="E25" t="s">
        <v>31</v>
      </c>
      <c r="F25" t="s">
        <v>35</v>
      </c>
      <c r="G25" t="s">
        <v>22</v>
      </c>
      <c r="H25">
        <v>3</v>
      </c>
      <c r="I25" t="s">
        <v>27</v>
      </c>
      <c r="J25" t="s">
        <v>28</v>
      </c>
      <c r="K25">
        <v>41</v>
      </c>
      <c r="L25" t="s">
        <v>30</v>
      </c>
      <c r="M25" t="s">
        <v>15</v>
      </c>
    </row>
    <row r="26" spans="1:13" x14ac:dyDescent="0.3">
      <c r="A26">
        <v>25</v>
      </c>
      <c r="B26" t="s">
        <v>41</v>
      </c>
      <c r="C26" t="s">
        <v>19</v>
      </c>
      <c r="D26">
        <v>24364</v>
      </c>
      <c r="E26" t="s">
        <v>26</v>
      </c>
      <c r="F26" t="s">
        <v>21</v>
      </c>
      <c r="G26" t="s">
        <v>22</v>
      </c>
      <c r="H26">
        <v>1</v>
      </c>
      <c r="I26" t="s">
        <v>33</v>
      </c>
      <c r="J26" t="s">
        <v>28</v>
      </c>
      <c r="K26">
        <v>25</v>
      </c>
      <c r="L26" t="s">
        <v>38</v>
      </c>
      <c r="M26" t="s">
        <v>15</v>
      </c>
    </row>
    <row r="27" spans="1:13" x14ac:dyDescent="0.3">
      <c r="A27">
        <v>26</v>
      </c>
      <c r="B27" t="s">
        <v>40</v>
      </c>
      <c r="C27" t="s">
        <v>19</v>
      </c>
      <c r="D27">
        <v>41727</v>
      </c>
      <c r="E27" t="s">
        <v>26</v>
      </c>
      <c r="F27" t="s">
        <v>36</v>
      </c>
      <c r="G27" t="s">
        <v>15</v>
      </c>
      <c r="H27">
        <v>3</v>
      </c>
      <c r="I27" t="s">
        <v>33</v>
      </c>
      <c r="J27" t="s">
        <v>17</v>
      </c>
      <c r="K27">
        <v>46</v>
      </c>
      <c r="L27" t="s">
        <v>30</v>
      </c>
      <c r="M27" t="s">
        <v>15</v>
      </c>
    </row>
    <row r="28" spans="1:13" x14ac:dyDescent="0.3">
      <c r="A28">
        <v>27</v>
      </c>
      <c r="B28" t="s">
        <v>41</v>
      </c>
      <c r="C28" t="s">
        <v>19</v>
      </c>
      <c r="D28">
        <v>52185</v>
      </c>
      <c r="E28" t="s">
        <v>13</v>
      </c>
      <c r="F28" t="s">
        <v>36</v>
      </c>
      <c r="G28" t="s">
        <v>22</v>
      </c>
      <c r="H28">
        <v>1</v>
      </c>
      <c r="I28" t="s">
        <v>16</v>
      </c>
      <c r="J28" t="s">
        <v>34</v>
      </c>
      <c r="K28">
        <v>50</v>
      </c>
      <c r="L28" t="s">
        <v>30</v>
      </c>
      <c r="M28" t="s">
        <v>15</v>
      </c>
    </row>
    <row r="29" spans="1:13" x14ac:dyDescent="0.3">
      <c r="A29">
        <v>28</v>
      </c>
      <c r="B29" t="s">
        <v>40</v>
      </c>
      <c r="C29" t="s">
        <v>12</v>
      </c>
      <c r="D29">
        <v>109473</v>
      </c>
      <c r="E29" t="s">
        <v>31</v>
      </c>
      <c r="F29" t="s">
        <v>36</v>
      </c>
      <c r="G29" t="s">
        <v>15</v>
      </c>
      <c r="H29">
        <v>1</v>
      </c>
      <c r="I29" t="s">
        <v>27</v>
      </c>
      <c r="J29" t="s">
        <v>24</v>
      </c>
      <c r="K29">
        <v>26</v>
      </c>
      <c r="L29" t="s">
        <v>38</v>
      </c>
      <c r="M29" t="s">
        <v>22</v>
      </c>
    </row>
    <row r="30" spans="1:13" x14ac:dyDescent="0.3">
      <c r="A30">
        <v>29</v>
      </c>
      <c r="B30" t="s">
        <v>41</v>
      </c>
      <c r="C30" t="s">
        <v>19</v>
      </c>
      <c r="D30">
        <v>69895</v>
      </c>
      <c r="E30" t="s">
        <v>13</v>
      </c>
      <c r="F30" t="s">
        <v>32</v>
      </c>
      <c r="G30" t="s">
        <v>15</v>
      </c>
      <c r="H30">
        <v>2</v>
      </c>
      <c r="I30" t="s">
        <v>37</v>
      </c>
      <c r="J30" t="s">
        <v>34</v>
      </c>
      <c r="K30">
        <v>48</v>
      </c>
      <c r="L30" t="s">
        <v>30</v>
      </c>
      <c r="M30" t="s">
        <v>15</v>
      </c>
    </row>
    <row r="31" spans="1:13" x14ac:dyDescent="0.3">
      <c r="A31">
        <v>30</v>
      </c>
      <c r="B31" t="s">
        <v>41</v>
      </c>
      <c r="C31" t="s">
        <v>12</v>
      </c>
      <c r="D31">
        <v>112329</v>
      </c>
      <c r="E31" t="s">
        <v>26</v>
      </c>
      <c r="F31" t="s">
        <v>21</v>
      </c>
      <c r="G31" t="s">
        <v>15</v>
      </c>
      <c r="H31">
        <v>3</v>
      </c>
      <c r="I31" t="s">
        <v>16</v>
      </c>
      <c r="J31" t="s">
        <v>17</v>
      </c>
      <c r="K31">
        <v>45</v>
      </c>
      <c r="L31" t="s">
        <v>30</v>
      </c>
      <c r="M31" t="s">
        <v>15</v>
      </c>
    </row>
    <row r="32" spans="1:13" x14ac:dyDescent="0.3">
      <c r="A32">
        <v>31</v>
      </c>
      <c r="B32" t="s">
        <v>40</v>
      </c>
      <c r="C32" t="s">
        <v>12</v>
      </c>
      <c r="D32">
        <v>92025</v>
      </c>
      <c r="E32" t="s">
        <v>20</v>
      </c>
      <c r="F32" t="s">
        <v>35</v>
      </c>
      <c r="G32" t="s">
        <v>15</v>
      </c>
      <c r="H32">
        <v>1</v>
      </c>
      <c r="I32" t="s">
        <v>23</v>
      </c>
      <c r="J32" t="s">
        <v>34</v>
      </c>
      <c r="K32">
        <v>46</v>
      </c>
      <c r="L32" t="s">
        <v>30</v>
      </c>
      <c r="M32" t="s">
        <v>15</v>
      </c>
    </row>
    <row r="33" spans="1:13" x14ac:dyDescent="0.3">
      <c r="A33">
        <v>32</v>
      </c>
      <c r="B33" t="s">
        <v>41</v>
      </c>
      <c r="C33" t="s">
        <v>12</v>
      </c>
      <c r="D33">
        <v>99838</v>
      </c>
      <c r="E33" t="s">
        <v>20</v>
      </c>
      <c r="F33" t="s">
        <v>14</v>
      </c>
      <c r="G33" t="s">
        <v>15</v>
      </c>
      <c r="H33">
        <v>1</v>
      </c>
      <c r="I33" t="s">
        <v>16</v>
      </c>
      <c r="J33" t="s">
        <v>34</v>
      </c>
      <c r="K33">
        <v>27</v>
      </c>
      <c r="L33" t="s">
        <v>38</v>
      </c>
      <c r="M33" t="s">
        <v>15</v>
      </c>
    </row>
    <row r="34" spans="1:13" x14ac:dyDescent="0.3">
      <c r="A34">
        <v>33</v>
      </c>
      <c r="B34" t="s">
        <v>40</v>
      </c>
      <c r="C34" t="s">
        <v>19</v>
      </c>
      <c r="D34">
        <v>109989</v>
      </c>
      <c r="E34" t="s">
        <v>20</v>
      </c>
      <c r="F34" t="s">
        <v>21</v>
      </c>
      <c r="G34" t="s">
        <v>22</v>
      </c>
      <c r="H34">
        <v>2</v>
      </c>
      <c r="I34" t="s">
        <v>27</v>
      </c>
      <c r="J34" t="s">
        <v>34</v>
      </c>
      <c r="K34">
        <v>34</v>
      </c>
      <c r="L34" t="s">
        <v>18</v>
      </c>
      <c r="M34" t="s">
        <v>22</v>
      </c>
    </row>
    <row r="35" spans="1:13" x14ac:dyDescent="0.3">
      <c r="A35">
        <v>34</v>
      </c>
      <c r="B35" t="s">
        <v>41</v>
      </c>
      <c r="C35" t="s">
        <v>12</v>
      </c>
      <c r="D35">
        <v>36219</v>
      </c>
      <c r="E35" t="s">
        <v>13</v>
      </c>
      <c r="F35" t="s">
        <v>21</v>
      </c>
      <c r="G35" t="s">
        <v>15</v>
      </c>
      <c r="H35">
        <v>1</v>
      </c>
      <c r="I35" t="s">
        <v>16</v>
      </c>
      <c r="J35" t="s">
        <v>34</v>
      </c>
      <c r="K35">
        <v>34</v>
      </c>
      <c r="L35" t="s">
        <v>18</v>
      </c>
      <c r="M35" t="s">
        <v>15</v>
      </c>
    </row>
    <row r="36" spans="1:13" x14ac:dyDescent="0.3">
      <c r="A36">
        <v>35</v>
      </c>
      <c r="B36" t="s">
        <v>40</v>
      </c>
      <c r="C36" t="s">
        <v>12</v>
      </c>
      <c r="D36">
        <v>57629</v>
      </c>
      <c r="E36" t="s">
        <v>31</v>
      </c>
      <c r="F36" t="s">
        <v>14</v>
      </c>
      <c r="G36" t="s">
        <v>15</v>
      </c>
      <c r="H36">
        <v>3</v>
      </c>
      <c r="I36" t="s">
        <v>23</v>
      </c>
      <c r="J36" t="s">
        <v>24</v>
      </c>
      <c r="K36">
        <v>56</v>
      </c>
      <c r="L36" t="s">
        <v>29</v>
      </c>
      <c r="M36" t="s">
        <v>15</v>
      </c>
    </row>
    <row r="37" spans="1:13" x14ac:dyDescent="0.3">
      <c r="A37">
        <v>36</v>
      </c>
      <c r="B37" t="s">
        <v>41</v>
      </c>
      <c r="C37" t="s">
        <v>19</v>
      </c>
      <c r="D37">
        <v>67156</v>
      </c>
      <c r="E37" t="s">
        <v>31</v>
      </c>
      <c r="F37" t="s">
        <v>35</v>
      </c>
      <c r="G37" t="s">
        <v>22</v>
      </c>
      <c r="H37">
        <v>3</v>
      </c>
      <c r="I37" t="s">
        <v>27</v>
      </c>
      <c r="J37" t="s">
        <v>17</v>
      </c>
      <c r="K37">
        <v>39</v>
      </c>
      <c r="L37" t="s">
        <v>18</v>
      </c>
      <c r="M37" t="s">
        <v>15</v>
      </c>
    </row>
    <row r="38" spans="1:13" x14ac:dyDescent="0.3">
      <c r="A38">
        <v>37</v>
      </c>
      <c r="B38" t="s">
        <v>40</v>
      </c>
      <c r="C38" t="s">
        <v>12</v>
      </c>
      <c r="D38">
        <v>80643</v>
      </c>
      <c r="E38" t="s">
        <v>31</v>
      </c>
      <c r="F38" t="s">
        <v>14</v>
      </c>
      <c r="G38" t="s">
        <v>22</v>
      </c>
      <c r="H38">
        <v>0</v>
      </c>
      <c r="I38" t="s">
        <v>23</v>
      </c>
      <c r="J38" t="s">
        <v>17</v>
      </c>
      <c r="K38">
        <v>59</v>
      </c>
      <c r="L38" t="s">
        <v>29</v>
      </c>
      <c r="M38" t="s">
        <v>15</v>
      </c>
    </row>
    <row r="39" spans="1:13" x14ac:dyDescent="0.3">
      <c r="A39">
        <v>38</v>
      </c>
      <c r="B39" t="s">
        <v>40</v>
      </c>
      <c r="C39" t="s">
        <v>12</v>
      </c>
      <c r="D39">
        <v>59204</v>
      </c>
      <c r="E39" t="s">
        <v>31</v>
      </c>
      <c r="F39" t="s">
        <v>32</v>
      </c>
      <c r="G39" t="s">
        <v>15</v>
      </c>
      <c r="H39">
        <v>1</v>
      </c>
      <c r="I39" t="s">
        <v>27</v>
      </c>
      <c r="J39" t="s">
        <v>34</v>
      </c>
      <c r="K39">
        <v>35</v>
      </c>
      <c r="L39" t="s">
        <v>18</v>
      </c>
      <c r="M39" t="s">
        <v>22</v>
      </c>
    </row>
    <row r="40" spans="1:13" x14ac:dyDescent="0.3">
      <c r="A40">
        <v>39</v>
      </c>
      <c r="B40" t="s">
        <v>40</v>
      </c>
      <c r="C40" t="s">
        <v>12</v>
      </c>
      <c r="D40">
        <v>78285</v>
      </c>
      <c r="E40" t="s">
        <v>26</v>
      </c>
      <c r="F40" t="s">
        <v>21</v>
      </c>
      <c r="G40" t="s">
        <v>22</v>
      </c>
      <c r="H40">
        <v>3</v>
      </c>
      <c r="I40" t="s">
        <v>27</v>
      </c>
      <c r="J40" t="s">
        <v>24</v>
      </c>
      <c r="K40">
        <v>39</v>
      </c>
      <c r="L40" t="s">
        <v>18</v>
      </c>
      <c r="M40" t="s">
        <v>15</v>
      </c>
    </row>
    <row r="41" spans="1:13" x14ac:dyDescent="0.3">
      <c r="A41">
        <v>40</v>
      </c>
      <c r="B41" t="s">
        <v>41</v>
      </c>
      <c r="C41" t="s">
        <v>12</v>
      </c>
      <c r="D41">
        <v>79173</v>
      </c>
      <c r="E41" t="s">
        <v>20</v>
      </c>
      <c r="F41" t="s">
        <v>32</v>
      </c>
      <c r="G41" t="s">
        <v>15</v>
      </c>
      <c r="H41">
        <v>3</v>
      </c>
      <c r="I41" t="s">
        <v>27</v>
      </c>
      <c r="J41" t="s">
        <v>24</v>
      </c>
      <c r="K41">
        <v>43</v>
      </c>
      <c r="L41" t="s">
        <v>30</v>
      </c>
      <c r="M41" t="s">
        <v>15</v>
      </c>
    </row>
    <row r="42" spans="1:13" x14ac:dyDescent="0.3">
      <c r="A42">
        <v>41</v>
      </c>
      <c r="B42" t="s">
        <v>40</v>
      </c>
      <c r="C42" t="s">
        <v>19</v>
      </c>
      <c r="D42">
        <v>64211</v>
      </c>
      <c r="E42" t="s">
        <v>13</v>
      </c>
      <c r="F42" t="s">
        <v>21</v>
      </c>
      <c r="G42" t="s">
        <v>15</v>
      </c>
      <c r="H42">
        <v>2</v>
      </c>
      <c r="I42" t="s">
        <v>37</v>
      </c>
      <c r="J42" t="s">
        <v>28</v>
      </c>
      <c r="K42">
        <v>38</v>
      </c>
      <c r="L42" t="s">
        <v>18</v>
      </c>
      <c r="M42" t="s">
        <v>22</v>
      </c>
    </row>
    <row r="43" spans="1:13" x14ac:dyDescent="0.3">
      <c r="A43">
        <v>42</v>
      </c>
      <c r="B43" t="s">
        <v>41</v>
      </c>
      <c r="C43" t="s">
        <v>19</v>
      </c>
      <c r="D43">
        <v>20599</v>
      </c>
      <c r="E43" t="s">
        <v>13</v>
      </c>
      <c r="F43" t="s">
        <v>32</v>
      </c>
      <c r="G43" t="s">
        <v>15</v>
      </c>
      <c r="H43">
        <v>2</v>
      </c>
      <c r="I43" t="s">
        <v>37</v>
      </c>
      <c r="J43" t="s">
        <v>34</v>
      </c>
      <c r="K43">
        <v>51</v>
      </c>
      <c r="L43" t="s">
        <v>29</v>
      </c>
      <c r="M43" t="s">
        <v>15</v>
      </c>
    </row>
    <row r="44" spans="1:13" x14ac:dyDescent="0.3">
      <c r="A44">
        <v>43</v>
      </c>
      <c r="B44" t="s">
        <v>42</v>
      </c>
      <c r="C44" t="s">
        <v>12</v>
      </c>
      <c r="D44">
        <v>42594</v>
      </c>
      <c r="E44" t="s">
        <v>20</v>
      </c>
      <c r="F44" t="s">
        <v>14</v>
      </c>
      <c r="G44" t="s">
        <v>22</v>
      </c>
      <c r="H44">
        <v>0</v>
      </c>
      <c r="I44" t="s">
        <v>33</v>
      </c>
      <c r="J44" t="s">
        <v>28</v>
      </c>
      <c r="K44">
        <v>26</v>
      </c>
      <c r="L44" t="s">
        <v>38</v>
      </c>
      <c r="M44" t="s">
        <v>15</v>
      </c>
    </row>
    <row r="45" spans="1:13" x14ac:dyDescent="0.3">
      <c r="A45">
        <v>44</v>
      </c>
      <c r="B45" t="s">
        <v>40</v>
      </c>
      <c r="C45" t="s">
        <v>19</v>
      </c>
      <c r="D45">
        <v>58484</v>
      </c>
      <c r="E45" t="s">
        <v>20</v>
      </c>
      <c r="F45" t="s">
        <v>14</v>
      </c>
      <c r="G45" t="s">
        <v>22</v>
      </c>
      <c r="H45">
        <v>0</v>
      </c>
      <c r="I45" t="s">
        <v>37</v>
      </c>
      <c r="J45" t="s">
        <v>28</v>
      </c>
      <c r="K45">
        <v>23</v>
      </c>
      <c r="L45" t="s">
        <v>38</v>
      </c>
      <c r="M45" t="s">
        <v>22</v>
      </c>
    </row>
    <row r="46" spans="1:13" x14ac:dyDescent="0.3">
      <c r="A46">
        <v>45</v>
      </c>
      <c r="B46" t="s">
        <v>41</v>
      </c>
      <c r="C46" t="s">
        <v>19</v>
      </c>
      <c r="D46">
        <v>29757</v>
      </c>
      <c r="E46" t="s">
        <v>13</v>
      </c>
      <c r="F46" t="s">
        <v>32</v>
      </c>
      <c r="G46" t="s">
        <v>22</v>
      </c>
      <c r="H46">
        <v>0</v>
      </c>
      <c r="I46" t="s">
        <v>16</v>
      </c>
      <c r="J46" t="s">
        <v>24</v>
      </c>
      <c r="K46">
        <v>33</v>
      </c>
      <c r="L46" t="s">
        <v>18</v>
      </c>
      <c r="M46" t="s">
        <v>15</v>
      </c>
    </row>
    <row r="47" spans="1:13" x14ac:dyDescent="0.3">
      <c r="A47">
        <v>46</v>
      </c>
      <c r="B47" t="s">
        <v>40</v>
      </c>
      <c r="C47" t="s">
        <v>12</v>
      </c>
      <c r="D47">
        <v>45010</v>
      </c>
      <c r="E47" t="s">
        <v>20</v>
      </c>
      <c r="F47" t="s">
        <v>35</v>
      </c>
      <c r="G47" t="s">
        <v>22</v>
      </c>
      <c r="H47">
        <v>3</v>
      </c>
      <c r="I47" t="s">
        <v>23</v>
      </c>
      <c r="J47" t="s">
        <v>28</v>
      </c>
      <c r="K47">
        <v>28</v>
      </c>
      <c r="L47" t="s">
        <v>38</v>
      </c>
      <c r="M47" t="s">
        <v>15</v>
      </c>
    </row>
    <row r="48" spans="1:13" x14ac:dyDescent="0.3">
      <c r="A48">
        <v>47</v>
      </c>
      <c r="B48" t="s">
        <v>40</v>
      </c>
      <c r="C48" t="s">
        <v>12</v>
      </c>
      <c r="D48">
        <v>84175</v>
      </c>
      <c r="E48" t="s">
        <v>26</v>
      </c>
      <c r="F48" t="s">
        <v>35</v>
      </c>
      <c r="G48" t="s">
        <v>15</v>
      </c>
      <c r="H48">
        <v>3</v>
      </c>
      <c r="I48" t="s">
        <v>37</v>
      </c>
      <c r="J48" t="s">
        <v>17</v>
      </c>
      <c r="K48">
        <v>54</v>
      </c>
      <c r="L48" t="s">
        <v>29</v>
      </c>
      <c r="M48" t="s">
        <v>15</v>
      </c>
    </row>
    <row r="49" spans="1:13" x14ac:dyDescent="0.3">
      <c r="A49">
        <v>48</v>
      </c>
      <c r="B49" t="s">
        <v>41</v>
      </c>
      <c r="C49" t="s">
        <v>12</v>
      </c>
      <c r="D49">
        <v>31843</v>
      </c>
      <c r="E49" t="s">
        <v>13</v>
      </c>
      <c r="F49" t="s">
        <v>32</v>
      </c>
      <c r="G49" t="s">
        <v>22</v>
      </c>
      <c r="H49">
        <v>1</v>
      </c>
      <c r="I49" t="s">
        <v>33</v>
      </c>
      <c r="J49" t="s">
        <v>34</v>
      </c>
      <c r="K49">
        <v>44</v>
      </c>
      <c r="L49" t="s">
        <v>30</v>
      </c>
      <c r="M49" t="s">
        <v>15</v>
      </c>
    </row>
    <row r="50" spans="1:13" x14ac:dyDescent="0.3">
      <c r="A50">
        <v>49</v>
      </c>
      <c r="B50" t="s">
        <v>40</v>
      </c>
      <c r="C50" t="s">
        <v>19</v>
      </c>
      <c r="D50">
        <v>43294</v>
      </c>
      <c r="E50" t="s">
        <v>31</v>
      </c>
      <c r="F50" t="s">
        <v>21</v>
      </c>
      <c r="G50" t="s">
        <v>22</v>
      </c>
      <c r="H50">
        <v>0</v>
      </c>
      <c r="I50" t="s">
        <v>27</v>
      </c>
      <c r="J50" t="s">
        <v>34</v>
      </c>
      <c r="K50">
        <v>58</v>
      </c>
      <c r="L50" t="s">
        <v>29</v>
      </c>
      <c r="M50" t="s">
        <v>15</v>
      </c>
    </row>
    <row r="51" spans="1:13" x14ac:dyDescent="0.3">
      <c r="A51">
        <v>50</v>
      </c>
      <c r="B51" t="s">
        <v>40</v>
      </c>
      <c r="C51" t="s">
        <v>12</v>
      </c>
      <c r="D51">
        <v>116554</v>
      </c>
      <c r="E51" t="s">
        <v>20</v>
      </c>
      <c r="F51" t="s">
        <v>35</v>
      </c>
      <c r="G51" t="s">
        <v>22</v>
      </c>
      <c r="H51">
        <v>3</v>
      </c>
      <c r="I51" t="s">
        <v>16</v>
      </c>
      <c r="J51" t="s">
        <v>24</v>
      </c>
      <c r="K51">
        <v>52</v>
      </c>
      <c r="L51" t="s">
        <v>29</v>
      </c>
      <c r="M51" t="s">
        <v>15</v>
      </c>
    </row>
    <row r="52" spans="1:13" x14ac:dyDescent="0.3">
      <c r="A52">
        <v>51</v>
      </c>
      <c r="B52" t="s">
        <v>41</v>
      </c>
      <c r="C52" t="s">
        <v>12</v>
      </c>
      <c r="D52">
        <v>83276</v>
      </c>
      <c r="E52" t="s">
        <v>20</v>
      </c>
      <c r="F52" t="s">
        <v>14</v>
      </c>
      <c r="G52" t="s">
        <v>15</v>
      </c>
      <c r="H52">
        <v>2</v>
      </c>
      <c r="I52" t="s">
        <v>33</v>
      </c>
      <c r="J52" t="s">
        <v>24</v>
      </c>
      <c r="K52">
        <v>27</v>
      </c>
      <c r="L52" t="s">
        <v>38</v>
      </c>
      <c r="M52" t="s">
        <v>22</v>
      </c>
    </row>
    <row r="53" spans="1:13" x14ac:dyDescent="0.3">
      <c r="A53">
        <v>52</v>
      </c>
      <c r="B53" t="s">
        <v>41</v>
      </c>
      <c r="C53" t="s">
        <v>19</v>
      </c>
      <c r="D53">
        <v>103446</v>
      </c>
      <c r="E53" t="s">
        <v>31</v>
      </c>
      <c r="F53" t="s">
        <v>21</v>
      </c>
      <c r="G53" t="s">
        <v>22</v>
      </c>
      <c r="H53">
        <v>3</v>
      </c>
      <c r="I53" t="s">
        <v>27</v>
      </c>
      <c r="J53" t="s">
        <v>34</v>
      </c>
      <c r="K53">
        <v>18</v>
      </c>
      <c r="L53" t="s">
        <v>25</v>
      </c>
      <c r="M53" t="s">
        <v>15</v>
      </c>
    </row>
    <row r="54" spans="1:13" x14ac:dyDescent="0.3">
      <c r="A54">
        <v>53</v>
      </c>
      <c r="B54" t="s">
        <v>40</v>
      </c>
      <c r="C54" t="s">
        <v>19</v>
      </c>
      <c r="D54">
        <v>87299</v>
      </c>
      <c r="E54" t="s">
        <v>26</v>
      </c>
      <c r="F54" t="s">
        <v>32</v>
      </c>
      <c r="G54" t="s">
        <v>15</v>
      </c>
      <c r="H54">
        <v>3</v>
      </c>
      <c r="I54" t="s">
        <v>16</v>
      </c>
      <c r="J54" t="s">
        <v>17</v>
      </c>
      <c r="K54">
        <v>20</v>
      </c>
      <c r="L54" t="s">
        <v>25</v>
      </c>
      <c r="M54" t="s">
        <v>15</v>
      </c>
    </row>
    <row r="55" spans="1:13" x14ac:dyDescent="0.3">
      <c r="A55">
        <v>54</v>
      </c>
      <c r="B55" t="s">
        <v>41</v>
      </c>
      <c r="C55" t="s">
        <v>19</v>
      </c>
      <c r="D55">
        <v>109321</v>
      </c>
      <c r="E55" t="s">
        <v>31</v>
      </c>
      <c r="F55" t="s">
        <v>35</v>
      </c>
      <c r="G55" t="s">
        <v>22</v>
      </c>
      <c r="H55">
        <v>3</v>
      </c>
      <c r="I55" t="s">
        <v>16</v>
      </c>
      <c r="J55" t="s">
        <v>17</v>
      </c>
      <c r="K55">
        <v>51</v>
      </c>
      <c r="L55" t="s">
        <v>29</v>
      </c>
      <c r="M55" t="s">
        <v>15</v>
      </c>
    </row>
    <row r="56" spans="1:13" x14ac:dyDescent="0.3">
      <c r="A56">
        <v>55</v>
      </c>
      <c r="B56" t="s">
        <v>40</v>
      </c>
      <c r="C56" t="s">
        <v>19</v>
      </c>
      <c r="D56">
        <v>31722</v>
      </c>
      <c r="E56" t="s">
        <v>31</v>
      </c>
      <c r="F56" t="s">
        <v>21</v>
      </c>
      <c r="G56" t="s">
        <v>15</v>
      </c>
      <c r="H56">
        <v>0</v>
      </c>
      <c r="I56" t="s">
        <v>37</v>
      </c>
      <c r="J56" t="s">
        <v>17</v>
      </c>
      <c r="K56">
        <v>40</v>
      </c>
      <c r="L56" t="s">
        <v>18</v>
      </c>
      <c r="M56" t="s">
        <v>15</v>
      </c>
    </row>
    <row r="57" spans="1:13" x14ac:dyDescent="0.3">
      <c r="A57">
        <v>56</v>
      </c>
      <c r="B57" t="s">
        <v>41</v>
      </c>
      <c r="C57" t="s">
        <v>19</v>
      </c>
      <c r="D57">
        <v>71361</v>
      </c>
      <c r="E57" t="s">
        <v>20</v>
      </c>
      <c r="F57" t="s">
        <v>21</v>
      </c>
      <c r="G57" t="s">
        <v>15</v>
      </c>
      <c r="H57">
        <v>2</v>
      </c>
      <c r="I57" t="s">
        <v>33</v>
      </c>
      <c r="J57" t="s">
        <v>28</v>
      </c>
      <c r="K57">
        <v>54</v>
      </c>
      <c r="L57" t="s">
        <v>29</v>
      </c>
      <c r="M57" t="s">
        <v>15</v>
      </c>
    </row>
    <row r="58" spans="1:13" x14ac:dyDescent="0.3">
      <c r="A58">
        <v>57</v>
      </c>
      <c r="B58" t="s">
        <v>41</v>
      </c>
      <c r="C58" t="s">
        <v>19</v>
      </c>
      <c r="D58">
        <v>89986</v>
      </c>
      <c r="E58" t="s">
        <v>26</v>
      </c>
      <c r="F58" t="s">
        <v>35</v>
      </c>
      <c r="G58" t="s">
        <v>22</v>
      </c>
      <c r="H58">
        <v>0</v>
      </c>
      <c r="I58" t="s">
        <v>16</v>
      </c>
      <c r="J58" t="s">
        <v>24</v>
      </c>
      <c r="K58">
        <v>24</v>
      </c>
      <c r="L58" t="s">
        <v>38</v>
      </c>
      <c r="M58" t="s">
        <v>15</v>
      </c>
    </row>
    <row r="59" spans="1:13" x14ac:dyDescent="0.3">
      <c r="A59">
        <v>58</v>
      </c>
      <c r="B59" t="s">
        <v>40</v>
      </c>
      <c r="C59" t="s">
        <v>19</v>
      </c>
      <c r="D59">
        <v>96665</v>
      </c>
      <c r="E59" t="s">
        <v>13</v>
      </c>
      <c r="F59" t="s">
        <v>14</v>
      </c>
      <c r="G59" t="s">
        <v>22</v>
      </c>
      <c r="H59">
        <v>0</v>
      </c>
      <c r="I59" t="s">
        <v>27</v>
      </c>
      <c r="J59" t="s">
        <v>28</v>
      </c>
      <c r="K59">
        <v>56</v>
      </c>
      <c r="L59" t="s">
        <v>29</v>
      </c>
      <c r="M59" t="s">
        <v>15</v>
      </c>
    </row>
    <row r="60" spans="1:13" x14ac:dyDescent="0.3">
      <c r="A60">
        <v>59</v>
      </c>
      <c r="B60" t="s">
        <v>41</v>
      </c>
      <c r="C60" t="s">
        <v>12</v>
      </c>
      <c r="D60">
        <v>52588</v>
      </c>
      <c r="E60" t="s">
        <v>31</v>
      </c>
      <c r="F60" t="s">
        <v>14</v>
      </c>
      <c r="G60" t="s">
        <v>15</v>
      </c>
      <c r="H60">
        <v>2</v>
      </c>
      <c r="I60" t="s">
        <v>23</v>
      </c>
      <c r="J60" t="s">
        <v>34</v>
      </c>
      <c r="K60">
        <v>19</v>
      </c>
      <c r="L60" t="s">
        <v>25</v>
      </c>
      <c r="M60" t="s">
        <v>22</v>
      </c>
    </row>
    <row r="61" spans="1:13" x14ac:dyDescent="0.3">
      <c r="A61">
        <v>60</v>
      </c>
      <c r="B61" t="s">
        <v>40</v>
      </c>
      <c r="C61" t="s">
        <v>12</v>
      </c>
      <c r="D61">
        <v>95898</v>
      </c>
      <c r="E61" t="s">
        <v>13</v>
      </c>
      <c r="F61" t="s">
        <v>32</v>
      </c>
      <c r="G61" t="s">
        <v>22</v>
      </c>
      <c r="H61">
        <v>1</v>
      </c>
      <c r="I61" t="s">
        <v>27</v>
      </c>
      <c r="J61" t="s">
        <v>24</v>
      </c>
      <c r="K61">
        <v>55</v>
      </c>
      <c r="L61" t="s">
        <v>29</v>
      </c>
      <c r="M61" t="s">
        <v>15</v>
      </c>
    </row>
    <row r="62" spans="1:13" x14ac:dyDescent="0.3">
      <c r="A62">
        <v>61</v>
      </c>
      <c r="B62" t="s">
        <v>41</v>
      </c>
      <c r="C62" t="s">
        <v>19</v>
      </c>
      <c r="D62">
        <v>113303</v>
      </c>
      <c r="E62" t="s">
        <v>26</v>
      </c>
      <c r="F62" t="s">
        <v>14</v>
      </c>
      <c r="G62" t="s">
        <v>15</v>
      </c>
      <c r="H62">
        <v>3</v>
      </c>
      <c r="I62" t="s">
        <v>37</v>
      </c>
      <c r="J62" t="s">
        <v>17</v>
      </c>
      <c r="K62">
        <v>42</v>
      </c>
      <c r="L62" t="s">
        <v>30</v>
      </c>
      <c r="M62" t="s">
        <v>15</v>
      </c>
    </row>
    <row r="63" spans="1:13" x14ac:dyDescent="0.3">
      <c r="A63">
        <v>62</v>
      </c>
      <c r="B63" t="s">
        <v>41</v>
      </c>
      <c r="C63" t="s">
        <v>12</v>
      </c>
      <c r="D63">
        <v>26928</v>
      </c>
      <c r="E63" t="s">
        <v>20</v>
      </c>
      <c r="F63" t="s">
        <v>35</v>
      </c>
      <c r="G63" t="s">
        <v>22</v>
      </c>
      <c r="H63">
        <v>1</v>
      </c>
      <c r="I63" t="s">
        <v>16</v>
      </c>
      <c r="J63" t="s">
        <v>17</v>
      </c>
      <c r="K63">
        <v>20</v>
      </c>
      <c r="L63" t="s">
        <v>25</v>
      </c>
      <c r="M63" t="s">
        <v>15</v>
      </c>
    </row>
    <row r="64" spans="1:13" x14ac:dyDescent="0.3">
      <c r="A64">
        <v>63</v>
      </c>
      <c r="B64" t="s">
        <v>40</v>
      </c>
      <c r="C64" t="s">
        <v>12</v>
      </c>
      <c r="D64">
        <v>81284</v>
      </c>
      <c r="E64" t="s">
        <v>13</v>
      </c>
      <c r="F64" t="s">
        <v>36</v>
      </c>
      <c r="G64" t="s">
        <v>15</v>
      </c>
      <c r="H64">
        <v>1</v>
      </c>
      <c r="I64" t="s">
        <v>33</v>
      </c>
      <c r="J64" t="s">
        <v>34</v>
      </c>
      <c r="K64">
        <v>23</v>
      </c>
      <c r="L64" t="s">
        <v>38</v>
      </c>
      <c r="M64" t="s">
        <v>15</v>
      </c>
    </row>
    <row r="65" spans="1:13" x14ac:dyDescent="0.3">
      <c r="A65">
        <v>64</v>
      </c>
      <c r="B65" t="s">
        <v>41</v>
      </c>
      <c r="C65" t="s">
        <v>12</v>
      </c>
      <c r="D65">
        <v>93263</v>
      </c>
      <c r="E65" t="s">
        <v>31</v>
      </c>
      <c r="F65" t="s">
        <v>36</v>
      </c>
      <c r="G65" t="s">
        <v>22</v>
      </c>
      <c r="H65">
        <v>3</v>
      </c>
      <c r="I65" t="s">
        <v>27</v>
      </c>
      <c r="J65" t="s">
        <v>28</v>
      </c>
      <c r="K65">
        <v>54</v>
      </c>
      <c r="L65" t="s">
        <v>29</v>
      </c>
      <c r="M65" t="s">
        <v>15</v>
      </c>
    </row>
    <row r="66" spans="1:13" x14ac:dyDescent="0.3">
      <c r="A66">
        <v>65</v>
      </c>
      <c r="B66" t="s">
        <v>41</v>
      </c>
      <c r="C66" t="s">
        <v>12</v>
      </c>
      <c r="D66">
        <v>105573</v>
      </c>
      <c r="E66" t="s">
        <v>26</v>
      </c>
      <c r="F66" t="s">
        <v>21</v>
      </c>
      <c r="G66" t="s">
        <v>22</v>
      </c>
      <c r="H66">
        <v>3</v>
      </c>
      <c r="I66" t="s">
        <v>33</v>
      </c>
      <c r="J66" t="s">
        <v>24</v>
      </c>
      <c r="K66">
        <v>32</v>
      </c>
      <c r="L66" t="s">
        <v>18</v>
      </c>
      <c r="M66" t="s">
        <v>15</v>
      </c>
    </row>
    <row r="67" spans="1:13" x14ac:dyDescent="0.3">
      <c r="A67">
        <v>66</v>
      </c>
      <c r="B67" t="s">
        <v>40</v>
      </c>
      <c r="C67" t="s">
        <v>19</v>
      </c>
      <c r="D67">
        <v>26048</v>
      </c>
      <c r="E67" t="s">
        <v>13</v>
      </c>
      <c r="F67" t="s">
        <v>14</v>
      </c>
      <c r="G67" t="s">
        <v>22</v>
      </c>
      <c r="H67">
        <v>3</v>
      </c>
      <c r="I67" t="s">
        <v>23</v>
      </c>
      <c r="J67" t="s">
        <v>28</v>
      </c>
      <c r="K67">
        <v>53</v>
      </c>
      <c r="L67" t="s">
        <v>29</v>
      </c>
      <c r="M67" t="s">
        <v>15</v>
      </c>
    </row>
    <row r="68" spans="1:13" x14ac:dyDescent="0.3">
      <c r="A68">
        <v>67</v>
      </c>
      <c r="B68" t="s">
        <v>40</v>
      </c>
      <c r="C68" t="s">
        <v>19</v>
      </c>
      <c r="D68">
        <v>72068</v>
      </c>
      <c r="E68" t="s">
        <v>26</v>
      </c>
      <c r="F68" t="s">
        <v>14</v>
      </c>
      <c r="G68" t="s">
        <v>15</v>
      </c>
      <c r="H68">
        <v>0</v>
      </c>
      <c r="I68" t="s">
        <v>37</v>
      </c>
      <c r="J68" t="s">
        <v>28</v>
      </c>
      <c r="K68">
        <v>34</v>
      </c>
      <c r="L68" t="s">
        <v>18</v>
      </c>
      <c r="M68" t="s">
        <v>22</v>
      </c>
    </row>
    <row r="69" spans="1:13" x14ac:dyDescent="0.3">
      <c r="A69">
        <v>68</v>
      </c>
      <c r="B69" t="s">
        <v>41</v>
      </c>
      <c r="C69" t="s">
        <v>19</v>
      </c>
      <c r="D69">
        <v>51797</v>
      </c>
      <c r="E69" t="s">
        <v>20</v>
      </c>
      <c r="F69" t="s">
        <v>21</v>
      </c>
      <c r="G69" t="s">
        <v>22</v>
      </c>
      <c r="H69">
        <v>0</v>
      </c>
      <c r="I69" t="s">
        <v>16</v>
      </c>
      <c r="J69" t="s">
        <v>34</v>
      </c>
      <c r="K69">
        <v>18</v>
      </c>
      <c r="L69" t="s">
        <v>25</v>
      </c>
      <c r="M69" t="s">
        <v>15</v>
      </c>
    </row>
    <row r="70" spans="1:13" x14ac:dyDescent="0.3">
      <c r="A70">
        <v>69</v>
      </c>
      <c r="B70" t="s">
        <v>40</v>
      </c>
      <c r="C70" t="s">
        <v>19</v>
      </c>
      <c r="D70">
        <v>49259</v>
      </c>
      <c r="E70" t="s">
        <v>13</v>
      </c>
      <c r="F70" t="s">
        <v>14</v>
      </c>
      <c r="G70" t="s">
        <v>15</v>
      </c>
      <c r="H70">
        <v>1</v>
      </c>
      <c r="I70" t="s">
        <v>33</v>
      </c>
      <c r="J70" t="s">
        <v>24</v>
      </c>
      <c r="K70">
        <v>31</v>
      </c>
      <c r="L70" t="s">
        <v>18</v>
      </c>
      <c r="M70" t="s">
        <v>22</v>
      </c>
    </row>
    <row r="71" spans="1:13" x14ac:dyDescent="0.3">
      <c r="A71">
        <v>70</v>
      </c>
      <c r="B71" t="s">
        <v>40</v>
      </c>
      <c r="C71" t="s">
        <v>12</v>
      </c>
      <c r="D71">
        <v>59940</v>
      </c>
      <c r="E71" t="s">
        <v>13</v>
      </c>
      <c r="F71" t="s">
        <v>36</v>
      </c>
      <c r="G71" t="s">
        <v>22</v>
      </c>
      <c r="H71">
        <v>3</v>
      </c>
      <c r="I71" t="s">
        <v>23</v>
      </c>
      <c r="J71" t="s">
        <v>28</v>
      </c>
      <c r="K71">
        <v>44</v>
      </c>
      <c r="L71" t="s">
        <v>30</v>
      </c>
      <c r="M71" t="s">
        <v>15</v>
      </c>
    </row>
    <row r="72" spans="1:13" x14ac:dyDescent="0.3">
      <c r="A72">
        <v>71</v>
      </c>
      <c r="B72" t="s">
        <v>40</v>
      </c>
      <c r="C72" t="s">
        <v>19</v>
      </c>
      <c r="D72">
        <v>112233</v>
      </c>
      <c r="E72" t="s">
        <v>31</v>
      </c>
      <c r="F72" t="s">
        <v>36</v>
      </c>
      <c r="G72" t="s">
        <v>22</v>
      </c>
      <c r="H72">
        <v>0</v>
      </c>
      <c r="I72" t="s">
        <v>33</v>
      </c>
      <c r="J72" t="s">
        <v>28</v>
      </c>
      <c r="K72">
        <v>25</v>
      </c>
      <c r="L72" t="s">
        <v>38</v>
      </c>
      <c r="M72" t="s">
        <v>15</v>
      </c>
    </row>
    <row r="73" spans="1:13" x14ac:dyDescent="0.3">
      <c r="A73">
        <v>72</v>
      </c>
      <c r="B73" t="s">
        <v>40</v>
      </c>
      <c r="C73" t="s">
        <v>19</v>
      </c>
      <c r="D73">
        <v>64617</v>
      </c>
      <c r="E73" t="s">
        <v>13</v>
      </c>
      <c r="F73" t="s">
        <v>36</v>
      </c>
      <c r="G73" t="s">
        <v>15</v>
      </c>
      <c r="H73">
        <v>3</v>
      </c>
      <c r="I73" t="s">
        <v>27</v>
      </c>
      <c r="J73" t="s">
        <v>17</v>
      </c>
      <c r="K73">
        <v>50</v>
      </c>
      <c r="L73" t="s">
        <v>30</v>
      </c>
      <c r="M73" t="s">
        <v>15</v>
      </c>
    </row>
    <row r="74" spans="1:13" x14ac:dyDescent="0.3">
      <c r="A74">
        <v>73</v>
      </c>
      <c r="B74" t="s">
        <v>41</v>
      </c>
      <c r="C74" t="s">
        <v>19</v>
      </c>
      <c r="D74">
        <v>96355</v>
      </c>
      <c r="E74" t="s">
        <v>20</v>
      </c>
      <c r="F74" t="s">
        <v>14</v>
      </c>
      <c r="G74" t="s">
        <v>22</v>
      </c>
      <c r="H74">
        <v>2</v>
      </c>
      <c r="I74" t="s">
        <v>37</v>
      </c>
      <c r="J74" t="s">
        <v>24</v>
      </c>
      <c r="K74">
        <v>57</v>
      </c>
      <c r="L74" t="s">
        <v>29</v>
      </c>
      <c r="M74" t="s">
        <v>15</v>
      </c>
    </row>
    <row r="75" spans="1:13" x14ac:dyDescent="0.3">
      <c r="A75">
        <v>74</v>
      </c>
      <c r="B75" t="s">
        <v>40</v>
      </c>
      <c r="C75" t="s">
        <v>19</v>
      </c>
      <c r="D75">
        <v>105897</v>
      </c>
      <c r="E75" t="s">
        <v>13</v>
      </c>
      <c r="F75" t="s">
        <v>36</v>
      </c>
      <c r="G75" t="s">
        <v>15</v>
      </c>
      <c r="H75">
        <v>0</v>
      </c>
      <c r="I75" t="s">
        <v>33</v>
      </c>
      <c r="J75" t="s">
        <v>17</v>
      </c>
      <c r="K75">
        <v>20</v>
      </c>
      <c r="L75" t="s">
        <v>25</v>
      </c>
      <c r="M75" t="s">
        <v>15</v>
      </c>
    </row>
    <row r="76" spans="1:13" x14ac:dyDescent="0.3">
      <c r="A76">
        <v>75</v>
      </c>
      <c r="B76" t="s">
        <v>40</v>
      </c>
      <c r="C76" t="s">
        <v>12</v>
      </c>
      <c r="D76">
        <v>90139</v>
      </c>
      <c r="E76" t="s">
        <v>31</v>
      </c>
      <c r="F76" t="s">
        <v>35</v>
      </c>
      <c r="G76" t="s">
        <v>22</v>
      </c>
      <c r="H76">
        <v>2</v>
      </c>
      <c r="I76" t="s">
        <v>37</v>
      </c>
      <c r="J76" t="s">
        <v>34</v>
      </c>
      <c r="K76">
        <v>34</v>
      </c>
      <c r="L76" t="s">
        <v>18</v>
      </c>
      <c r="M76" t="s">
        <v>15</v>
      </c>
    </row>
    <row r="77" spans="1:13" x14ac:dyDescent="0.3">
      <c r="A77">
        <v>76</v>
      </c>
      <c r="B77" t="s">
        <v>41</v>
      </c>
      <c r="C77" t="s">
        <v>12</v>
      </c>
      <c r="D77">
        <v>68407</v>
      </c>
      <c r="E77" t="s">
        <v>31</v>
      </c>
      <c r="F77" t="s">
        <v>36</v>
      </c>
      <c r="G77" t="s">
        <v>22</v>
      </c>
      <c r="H77">
        <v>3</v>
      </c>
      <c r="I77" t="s">
        <v>33</v>
      </c>
      <c r="J77" t="s">
        <v>34</v>
      </c>
      <c r="K77">
        <v>43</v>
      </c>
      <c r="L77" t="s">
        <v>30</v>
      </c>
      <c r="M77" t="s">
        <v>15</v>
      </c>
    </row>
    <row r="78" spans="1:13" x14ac:dyDescent="0.3">
      <c r="A78">
        <v>77</v>
      </c>
      <c r="B78" t="s">
        <v>41</v>
      </c>
      <c r="C78" t="s">
        <v>19</v>
      </c>
      <c r="D78">
        <v>108660</v>
      </c>
      <c r="E78" t="s">
        <v>13</v>
      </c>
      <c r="F78" t="s">
        <v>14</v>
      </c>
      <c r="G78" t="s">
        <v>22</v>
      </c>
      <c r="H78">
        <v>0</v>
      </c>
      <c r="I78" t="s">
        <v>27</v>
      </c>
      <c r="J78" t="s">
        <v>17</v>
      </c>
      <c r="K78">
        <v>48</v>
      </c>
      <c r="L78" t="s">
        <v>30</v>
      </c>
      <c r="M78" t="s">
        <v>15</v>
      </c>
    </row>
    <row r="79" spans="1:13" x14ac:dyDescent="0.3">
      <c r="A79">
        <v>78</v>
      </c>
      <c r="B79" t="s">
        <v>41</v>
      </c>
      <c r="C79" t="s">
        <v>19</v>
      </c>
      <c r="D79">
        <v>40378</v>
      </c>
      <c r="E79" t="s">
        <v>20</v>
      </c>
      <c r="F79" t="s">
        <v>14</v>
      </c>
      <c r="G79" t="s">
        <v>15</v>
      </c>
      <c r="H79">
        <v>2</v>
      </c>
      <c r="I79" t="s">
        <v>16</v>
      </c>
      <c r="J79" t="s">
        <v>24</v>
      </c>
      <c r="K79">
        <v>54</v>
      </c>
      <c r="L79" t="s">
        <v>29</v>
      </c>
      <c r="M79" t="s">
        <v>15</v>
      </c>
    </row>
    <row r="80" spans="1:13" x14ac:dyDescent="0.3">
      <c r="A80">
        <v>79</v>
      </c>
      <c r="B80" t="s">
        <v>40</v>
      </c>
      <c r="C80" t="s">
        <v>19</v>
      </c>
      <c r="D80">
        <v>28969</v>
      </c>
      <c r="E80" t="s">
        <v>20</v>
      </c>
      <c r="F80" t="s">
        <v>36</v>
      </c>
      <c r="G80" t="s">
        <v>22</v>
      </c>
      <c r="H80">
        <v>1</v>
      </c>
      <c r="I80" t="s">
        <v>23</v>
      </c>
      <c r="J80" t="s">
        <v>17</v>
      </c>
      <c r="K80">
        <v>32</v>
      </c>
      <c r="L80" t="s">
        <v>18</v>
      </c>
      <c r="M80" t="s">
        <v>15</v>
      </c>
    </row>
    <row r="81" spans="1:13" x14ac:dyDescent="0.3">
      <c r="A81">
        <v>80</v>
      </c>
      <c r="B81" t="s">
        <v>41</v>
      </c>
      <c r="C81" t="s">
        <v>19</v>
      </c>
      <c r="D81">
        <v>109936</v>
      </c>
      <c r="E81" t="s">
        <v>20</v>
      </c>
      <c r="F81" t="s">
        <v>36</v>
      </c>
      <c r="G81" t="s">
        <v>15</v>
      </c>
      <c r="H81">
        <v>0</v>
      </c>
      <c r="I81" t="s">
        <v>37</v>
      </c>
      <c r="J81" t="s">
        <v>24</v>
      </c>
      <c r="K81">
        <v>23</v>
      </c>
      <c r="L81" t="s">
        <v>38</v>
      </c>
      <c r="M81" t="s">
        <v>15</v>
      </c>
    </row>
    <row r="82" spans="1:13" x14ac:dyDescent="0.3">
      <c r="A82">
        <v>81</v>
      </c>
      <c r="B82" t="s">
        <v>40</v>
      </c>
      <c r="C82" t="s">
        <v>12</v>
      </c>
      <c r="D82">
        <v>38041</v>
      </c>
      <c r="E82" t="s">
        <v>26</v>
      </c>
      <c r="F82" t="s">
        <v>21</v>
      </c>
      <c r="G82" t="s">
        <v>22</v>
      </c>
      <c r="H82">
        <v>2</v>
      </c>
      <c r="I82" t="s">
        <v>27</v>
      </c>
      <c r="J82" t="s">
        <v>34</v>
      </c>
      <c r="K82">
        <v>40</v>
      </c>
      <c r="L82" t="s">
        <v>18</v>
      </c>
      <c r="M82" t="s">
        <v>15</v>
      </c>
    </row>
    <row r="83" spans="1:13" x14ac:dyDescent="0.3">
      <c r="A83">
        <v>82</v>
      </c>
      <c r="B83" t="s">
        <v>41</v>
      </c>
      <c r="C83" t="s">
        <v>19</v>
      </c>
      <c r="D83">
        <v>35895</v>
      </c>
      <c r="E83" t="s">
        <v>20</v>
      </c>
      <c r="F83" t="s">
        <v>32</v>
      </c>
      <c r="G83" t="s">
        <v>15</v>
      </c>
      <c r="H83">
        <v>0</v>
      </c>
      <c r="I83" t="s">
        <v>37</v>
      </c>
      <c r="J83" t="s">
        <v>17</v>
      </c>
      <c r="K83">
        <v>42</v>
      </c>
      <c r="L83" t="s">
        <v>30</v>
      </c>
      <c r="M83" t="s">
        <v>15</v>
      </c>
    </row>
    <row r="84" spans="1:13" x14ac:dyDescent="0.3">
      <c r="A84">
        <v>83</v>
      </c>
      <c r="B84" t="s">
        <v>40</v>
      </c>
      <c r="C84" t="s">
        <v>19</v>
      </c>
      <c r="D84">
        <v>87850</v>
      </c>
      <c r="E84" t="s">
        <v>26</v>
      </c>
      <c r="F84" t="s">
        <v>36</v>
      </c>
      <c r="G84" t="s">
        <v>15</v>
      </c>
      <c r="H84">
        <v>3</v>
      </c>
      <c r="I84" t="s">
        <v>23</v>
      </c>
      <c r="J84" t="s">
        <v>17</v>
      </c>
      <c r="K84">
        <v>25</v>
      </c>
      <c r="L84" t="s">
        <v>38</v>
      </c>
      <c r="M84" t="s">
        <v>15</v>
      </c>
    </row>
    <row r="85" spans="1:13" x14ac:dyDescent="0.3">
      <c r="A85">
        <v>84</v>
      </c>
      <c r="B85" t="s">
        <v>40</v>
      </c>
      <c r="C85" t="s">
        <v>19</v>
      </c>
      <c r="D85">
        <v>46440</v>
      </c>
      <c r="E85" t="s">
        <v>20</v>
      </c>
      <c r="F85" t="s">
        <v>21</v>
      </c>
      <c r="G85" t="s">
        <v>15</v>
      </c>
      <c r="H85">
        <v>2</v>
      </c>
      <c r="I85" t="s">
        <v>27</v>
      </c>
      <c r="J85" t="s">
        <v>28</v>
      </c>
      <c r="K85">
        <v>56</v>
      </c>
      <c r="L85" t="s">
        <v>29</v>
      </c>
      <c r="M85" t="s">
        <v>15</v>
      </c>
    </row>
    <row r="86" spans="1:13" x14ac:dyDescent="0.3">
      <c r="A86">
        <v>85</v>
      </c>
      <c r="B86" t="s">
        <v>41</v>
      </c>
      <c r="C86" t="s">
        <v>19</v>
      </c>
      <c r="D86">
        <v>30466</v>
      </c>
      <c r="E86" t="s">
        <v>20</v>
      </c>
      <c r="F86" t="s">
        <v>21</v>
      </c>
      <c r="G86" t="s">
        <v>22</v>
      </c>
      <c r="H86">
        <v>0</v>
      </c>
      <c r="I86" t="s">
        <v>33</v>
      </c>
      <c r="J86" t="s">
        <v>28</v>
      </c>
      <c r="K86">
        <v>29</v>
      </c>
      <c r="L86" t="s">
        <v>38</v>
      </c>
      <c r="M86" t="s">
        <v>15</v>
      </c>
    </row>
    <row r="87" spans="1:13" x14ac:dyDescent="0.3">
      <c r="A87">
        <v>86</v>
      </c>
      <c r="B87" t="s">
        <v>41</v>
      </c>
      <c r="C87" t="s">
        <v>12</v>
      </c>
      <c r="D87">
        <v>84399</v>
      </c>
      <c r="E87" t="s">
        <v>26</v>
      </c>
      <c r="F87" t="s">
        <v>21</v>
      </c>
      <c r="G87" t="s">
        <v>22</v>
      </c>
      <c r="H87">
        <v>3</v>
      </c>
      <c r="I87" t="s">
        <v>16</v>
      </c>
      <c r="J87" t="s">
        <v>28</v>
      </c>
      <c r="K87">
        <v>35</v>
      </c>
      <c r="L87" t="s">
        <v>18</v>
      </c>
      <c r="M87" t="s">
        <v>15</v>
      </c>
    </row>
    <row r="88" spans="1:13" x14ac:dyDescent="0.3">
      <c r="A88">
        <v>87</v>
      </c>
      <c r="B88" t="s">
        <v>41</v>
      </c>
      <c r="C88" t="s">
        <v>19</v>
      </c>
      <c r="D88">
        <v>25983</v>
      </c>
      <c r="E88" t="s">
        <v>20</v>
      </c>
      <c r="F88" t="s">
        <v>35</v>
      </c>
      <c r="G88" t="s">
        <v>15</v>
      </c>
      <c r="H88">
        <v>1</v>
      </c>
      <c r="I88" t="s">
        <v>23</v>
      </c>
      <c r="J88" t="s">
        <v>24</v>
      </c>
      <c r="K88">
        <v>48</v>
      </c>
      <c r="L88" t="s">
        <v>30</v>
      </c>
      <c r="M88" t="s">
        <v>15</v>
      </c>
    </row>
    <row r="89" spans="1:13" x14ac:dyDescent="0.3">
      <c r="A89">
        <v>88</v>
      </c>
      <c r="B89" t="s">
        <v>40</v>
      </c>
      <c r="C89" t="s">
        <v>12</v>
      </c>
      <c r="D89">
        <v>26384</v>
      </c>
      <c r="E89" t="s">
        <v>31</v>
      </c>
      <c r="F89" t="s">
        <v>35</v>
      </c>
      <c r="G89" t="s">
        <v>22</v>
      </c>
      <c r="H89">
        <v>0</v>
      </c>
      <c r="I89" t="s">
        <v>23</v>
      </c>
      <c r="J89" t="s">
        <v>24</v>
      </c>
      <c r="K89">
        <v>24</v>
      </c>
      <c r="L89" t="s">
        <v>38</v>
      </c>
      <c r="M89" t="s">
        <v>15</v>
      </c>
    </row>
    <row r="90" spans="1:13" x14ac:dyDescent="0.3">
      <c r="A90">
        <v>89</v>
      </c>
      <c r="B90" t="s">
        <v>41</v>
      </c>
      <c r="C90" t="s">
        <v>19</v>
      </c>
      <c r="D90">
        <v>48554</v>
      </c>
      <c r="E90" t="s">
        <v>13</v>
      </c>
      <c r="F90" t="s">
        <v>36</v>
      </c>
      <c r="G90" t="s">
        <v>15</v>
      </c>
      <c r="H90">
        <v>1</v>
      </c>
      <c r="I90" t="s">
        <v>33</v>
      </c>
      <c r="J90" t="s">
        <v>28</v>
      </c>
      <c r="K90">
        <v>18</v>
      </c>
      <c r="L90" t="s">
        <v>25</v>
      </c>
      <c r="M90" t="s">
        <v>22</v>
      </c>
    </row>
    <row r="91" spans="1:13" x14ac:dyDescent="0.3">
      <c r="A91">
        <v>90</v>
      </c>
      <c r="B91" t="s">
        <v>40</v>
      </c>
      <c r="C91" t="s">
        <v>19</v>
      </c>
      <c r="D91">
        <v>23265</v>
      </c>
      <c r="E91" t="s">
        <v>20</v>
      </c>
      <c r="F91" t="s">
        <v>35</v>
      </c>
      <c r="G91" t="s">
        <v>22</v>
      </c>
      <c r="H91">
        <v>1</v>
      </c>
      <c r="I91" t="s">
        <v>33</v>
      </c>
      <c r="J91" t="s">
        <v>24</v>
      </c>
      <c r="K91">
        <v>31</v>
      </c>
      <c r="L91" t="s">
        <v>18</v>
      </c>
      <c r="M91" t="s">
        <v>15</v>
      </c>
    </row>
    <row r="92" spans="1:13" x14ac:dyDescent="0.3">
      <c r="A92">
        <v>91</v>
      </c>
      <c r="B92" t="s">
        <v>41</v>
      </c>
      <c r="C92" t="s">
        <v>12</v>
      </c>
      <c r="D92">
        <v>49508</v>
      </c>
      <c r="E92" t="s">
        <v>31</v>
      </c>
      <c r="F92" t="s">
        <v>32</v>
      </c>
      <c r="G92" t="s">
        <v>22</v>
      </c>
      <c r="H92">
        <v>3</v>
      </c>
      <c r="I92" t="s">
        <v>27</v>
      </c>
      <c r="J92" t="s">
        <v>17</v>
      </c>
      <c r="K92">
        <v>52</v>
      </c>
      <c r="L92" t="s">
        <v>29</v>
      </c>
      <c r="M92" t="s">
        <v>15</v>
      </c>
    </row>
    <row r="93" spans="1:13" x14ac:dyDescent="0.3">
      <c r="A93">
        <v>92</v>
      </c>
      <c r="B93" t="s">
        <v>41</v>
      </c>
      <c r="C93" t="s">
        <v>12</v>
      </c>
      <c r="D93">
        <v>34872</v>
      </c>
      <c r="E93" t="s">
        <v>20</v>
      </c>
      <c r="F93" t="s">
        <v>35</v>
      </c>
      <c r="G93" t="s">
        <v>15</v>
      </c>
      <c r="H93">
        <v>1</v>
      </c>
      <c r="I93" t="s">
        <v>27</v>
      </c>
      <c r="J93" t="s">
        <v>28</v>
      </c>
      <c r="K93">
        <v>59</v>
      </c>
      <c r="L93" t="s">
        <v>29</v>
      </c>
      <c r="M93" t="s">
        <v>15</v>
      </c>
    </row>
    <row r="94" spans="1:13" x14ac:dyDescent="0.3">
      <c r="A94">
        <v>93</v>
      </c>
      <c r="B94" t="s">
        <v>41</v>
      </c>
      <c r="C94" t="s">
        <v>12</v>
      </c>
      <c r="D94">
        <v>57387</v>
      </c>
      <c r="E94" t="s">
        <v>20</v>
      </c>
      <c r="F94" t="s">
        <v>32</v>
      </c>
      <c r="G94" t="s">
        <v>22</v>
      </c>
      <c r="H94">
        <v>3</v>
      </c>
      <c r="I94" t="s">
        <v>37</v>
      </c>
      <c r="J94" t="s">
        <v>28</v>
      </c>
      <c r="K94">
        <v>54</v>
      </c>
      <c r="L94" t="s">
        <v>29</v>
      </c>
      <c r="M94" t="s">
        <v>15</v>
      </c>
    </row>
    <row r="95" spans="1:13" x14ac:dyDescent="0.3">
      <c r="A95">
        <v>94</v>
      </c>
      <c r="B95" t="s">
        <v>40</v>
      </c>
      <c r="C95" t="s">
        <v>19</v>
      </c>
      <c r="D95">
        <v>78113</v>
      </c>
      <c r="E95" t="s">
        <v>31</v>
      </c>
      <c r="F95" t="s">
        <v>21</v>
      </c>
      <c r="G95" t="s">
        <v>15</v>
      </c>
      <c r="H95">
        <v>3</v>
      </c>
      <c r="I95" t="s">
        <v>23</v>
      </c>
      <c r="J95" t="s">
        <v>34</v>
      </c>
      <c r="K95">
        <v>48</v>
      </c>
      <c r="L95" t="s">
        <v>30</v>
      </c>
      <c r="M95" t="s">
        <v>15</v>
      </c>
    </row>
    <row r="96" spans="1:13" x14ac:dyDescent="0.3">
      <c r="A96">
        <v>95</v>
      </c>
      <c r="B96" t="s">
        <v>41</v>
      </c>
      <c r="C96" t="s">
        <v>19</v>
      </c>
      <c r="D96">
        <v>114750</v>
      </c>
      <c r="E96" t="s">
        <v>31</v>
      </c>
      <c r="F96" t="s">
        <v>36</v>
      </c>
      <c r="G96" t="s">
        <v>15</v>
      </c>
      <c r="H96">
        <v>3</v>
      </c>
      <c r="I96" t="s">
        <v>27</v>
      </c>
      <c r="J96" t="s">
        <v>34</v>
      </c>
      <c r="K96">
        <v>53</v>
      </c>
      <c r="L96" t="s">
        <v>29</v>
      </c>
      <c r="M96" t="s">
        <v>15</v>
      </c>
    </row>
    <row r="97" spans="1:13" x14ac:dyDescent="0.3">
      <c r="A97">
        <v>96</v>
      </c>
      <c r="B97" t="s">
        <v>41</v>
      </c>
      <c r="C97" t="s">
        <v>12</v>
      </c>
      <c r="D97">
        <v>26389</v>
      </c>
      <c r="E97" t="s">
        <v>26</v>
      </c>
      <c r="F97" t="s">
        <v>32</v>
      </c>
      <c r="G97" t="s">
        <v>22</v>
      </c>
      <c r="H97">
        <v>0</v>
      </c>
      <c r="I97" t="s">
        <v>33</v>
      </c>
      <c r="J97" t="s">
        <v>28</v>
      </c>
      <c r="K97">
        <v>41</v>
      </c>
      <c r="L97" t="s">
        <v>30</v>
      </c>
      <c r="M97" t="s">
        <v>15</v>
      </c>
    </row>
    <row r="98" spans="1:13" x14ac:dyDescent="0.3">
      <c r="A98">
        <v>97</v>
      </c>
      <c r="B98" t="s">
        <v>40</v>
      </c>
      <c r="C98" t="s">
        <v>12</v>
      </c>
      <c r="D98">
        <v>27751</v>
      </c>
      <c r="E98" t="s">
        <v>20</v>
      </c>
      <c r="F98" t="s">
        <v>36</v>
      </c>
      <c r="G98" t="s">
        <v>15</v>
      </c>
      <c r="H98">
        <v>3</v>
      </c>
      <c r="I98" t="s">
        <v>23</v>
      </c>
      <c r="J98" t="s">
        <v>34</v>
      </c>
      <c r="K98">
        <v>37</v>
      </c>
      <c r="L98" t="s">
        <v>18</v>
      </c>
      <c r="M98" t="s">
        <v>15</v>
      </c>
    </row>
    <row r="99" spans="1:13" x14ac:dyDescent="0.3">
      <c r="A99">
        <v>98</v>
      </c>
      <c r="B99" t="s">
        <v>41</v>
      </c>
      <c r="C99" t="s">
        <v>12</v>
      </c>
      <c r="D99">
        <v>39998</v>
      </c>
      <c r="E99" t="s">
        <v>20</v>
      </c>
      <c r="F99" t="s">
        <v>21</v>
      </c>
      <c r="G99" t="s">
        <v>15</v>
      </c>
      <c r="H99">
        <v>3</v>
      </c>
      <c r="I99" t="s">
        <v>16</v>
      </c>
      <c r="J99" t="s">
        <v>17</v>
      </c>
      <c r="K99">
        <v>31</v>
      </c>
      <c r="L99" t="s">
        <v>18</v>
      </c>
      <c r="M99" t="s">
        <v>15</v>
      </c>
    </row>
    <row r="100" spans="1:13" x14ac:dyDescent="0.3">
      <c r="A100">
        <v>99</v>
      </c>
      <c r="B100" t="s">
        <v>40</v>
      </c>
      <c r="C100" t="s">
        <v>19</v>
      </c>
      <c r="D100">
        <v>36394</v>
      </c>
      <c r="E100" t="s">
        <v>26</v>
      </c>
      <c r="F100" t="s">
        <v>36</v>
      </c>
      <c r="G100" t="s">
        <v>22</v>
      </c>
      <c r="H100">
        <v>2</v>
      </c>
      <c r="I100" t="s">
        <v>23</v>
      </c>
      <c r="J100" t="s">
        <v>17</v>
      </c>
      <c r="K100">
        <v>32</v>
      </c>
      <c r="L100" t="s">
        <v>18</v>
      </c>
      <c r="M100" t="s">
        <v>15</v>
      </c>
    </row>
    <row r="101" spans="1:13" x14ac:dyDescent="0.3">
      <c r="A101">
        <v>100</v>
      </c>
      <c r="B101" t="s">
        <v>41</v>
      </c>
      <c r="C101" t="s">
        <v>19</v>
      </c>
      <c r="D101">
        <v>36143</v>
      </c>
      <c r="E101" t="s">
        <v>20</v>
      </c>
      <c r="F101" t="s">
        <v>32</v>
      </c>
      <c r="G101" t="s">
        <v>15</v>
      </c>
      <c r="H101">
        <v>1</v>
      </c>
      <c r="I101" t="s">
        <v>37</v>
      </c>
      <c r="J101" t="s">
        <v>17</v>
      </c>
      <c r="K101">
        <v>28</v>
      </c>
      <c r="L101" t="s">
        <v>38</v>
      </c>
      <c r="M101" t="s">
        <v>15</v>
      </c>
    </row>
    <row r="102" spans="1:13" x14ac:dyDescent="0.3">
      <c r="A102">
        <v>101</v>
      </c>
      <c r="B102" t="s">
        <v>40</v>
      </c>
      <c r="C102" t="s">
        <v>12</v>
      </c>
      <c r="D102">
        <v>108662</v>
      </c>
      <c r="E102" t="s">
        <v>20</v>
      </c>
      <c r="F102" t="s">
        <v>21</v>
      </c>
      <c r="G102" t="s">
        <v>22</v>
      </c>
      <c r="H102">
        <v>0</v>
      </c>
      <c r="I102" t="s">
        <v>37</v>
      </c>
      <c r="J102" t="s">
        <v>24</v>
      </c>
      <c r="K102">
        <v>33</v>
      </c>
      <c r="L102" t="s">
        <v>18</v>
      </c>
      <c r="M102" t="s">
        <v>15</v>
      </c>
    </row>
    <row r="103" spans="1:13" x14ac:dyDescent="0.3">
      <c r="A103">
        <v>102</v>
      </c>
      <c r="B103" t="s">
        <v>41</v>
      </c>
      <c r="C103" t="s">
        <v>19</v>
      </c>
      <c r="D103">
        <v>79619</v>
      </c>
      <c r="E103" t="s">
        <v>31</v>
      </c>
      <c r="F103" t="s">
        <v>35</v>
      </c>
      <c r="G103" t="s">
        <v>15</v>
      </c>
      <c r="H103">
        <v>1</v>
      </c>
      <c r="I103" t="s">
        <v>27</v>
      </c>
      <c r="J103" t="s">
        <v>34</v>
      </c>
      <c r="K103">
        <v>55</v>
      </c>
      <c r="L103" t="s">
        <v>29</v>
      </c>
      <c r="M103" t="s">
        <v>15</v>
      </c>
    </row>
    <row r="104" spans="1:13" x14ac:dyDescent="0.3">
      <c r="A104">
        <v>103</v>
      </c>
      <c r="B104" t="s">
        <v>40</v>
      </c>
      <c r="C104" t="s">
        <v>12</v>
      </c>
      <c r="D104">
        <v>115195</v>
      </c>
      <c r="E104" t="s">
        <v>31</v>
      </c>
      <c r="F104" t="s">
        <v>14</v>
      </c>
      <c r="G104" t="s">
        <v>15</v>
      </c>
      <c r="H104">
        <v>1</v>
      </c>
      <c r="I104" t="s">
        <v>37</v>
      </c>
      <c r="J104" t="s">
        <v>34</v>
      </c>
      <c r="K104">
        <v>43</v>
      </c>
      <c r="L104" t="s">
        <v>30</v>
      </c>
      <c r="M104" t="s">
        <v>15</v>
      </c>
    </row>
    <row r="105" spans="1:13" x14ac:dyDescent="0.3">
      <c r="A105">
        <v>104</v>
      </c>
      <c r="B105" t="s">
        <v>41</v>
      </c>
      <c r="C105" t="s">
        <v>19</v>
      </c>
      <c r="D105">
        <v>95622</v>
      </c>
      <c r="E105" t="s">
        <v>20</v>
      </c>
      <c r="F105" t="s">
        <v>36</v>
      </c>
      <c r="G105" t="s">
        <v>22</v>
      </c>
      <c r="H105">
        <v>1</v>
      </c>
      <c r="I105" t="s">
        <v>23</v>
      </c>
      <c r="J105" t="s">
        <v>24</v>
      </c>
      <c r="K105">
        <v>18</v>
      </c>
      <c r="L105" t="s">
        <v>25</v>
      </c>
      <c r="M105" t="s">
        <v>15</v>
      </c>
    </row>
    <row r="106" spans="1:13" x14ac:dyDescent="0.3">
      <c r="A106">
        <v>105</v>
      </c>
      <c r="B106" t="s">
        <v>40</v>
      </c>
      <c r="C106" t="s">
        <v>12</v>
      </c>
      <c r="D106">
        <v>91720</v>
      </c>
      <c r="E106" t="s">
        <v>31</v>
      </c>
      <c r="F106" t="s">
        <v>35</v>
      </c>
      <c r="G106" t="s">
        <v>22</v>
      </c>
      <c r="H106">
        <v>1</v>
      </c>
      <c r="I106" t="s">
        <v>16</v>
      </c>
      <c r="J106" t="s">
        <v>34</v>
      </c>
      <c r="K106">
        <v>39</v>
      </c>
      <c r="L106" t="s">
        <v>18</v>
      </c>
      <c r="M106" t="s">
        <v>22</v>
      </c>
    </row>
    <row r="107" spans="1:13" x14ac:dyDescent="0.3">
      <c r="A107">
        <v>106</v>
      </c>
      <c r="B107" t="s">
        <v>40</v>
      </c>
      <c r="C107" t="s">
        <v>12</v>
      </c>
      <c r="D107">
        <v>105552</v>
      </c>
      <c r="E107" t="s">
        <v>20</v>
      </c>
      <c r="F107" t="s">
        <v>14</v>
      </c>
      <c r="G107" t="s">
        <v>22</v>
      </c>
      <c r="H107">
        <v>3</v>
      </c>
      <c r="I107" t="s">
        <v>27</v>
      </c>
      <c r="J107" t="s">
        <v>28</v>
      </c>
      <c r="K107">
        <v>36</v>
      </c>
      <c r="L107" t="s">
        <v>18</v>
      </c>
      <c r="M107" t="s">
        <v>15</v>
      </c>
    </row>
    <row r="108" spans="1:13" x14ac:dyDescent="0.3">
      <c r="A108">
        <v>107</v>
      </c>
      <c r="B108" t="s">
        <v>41</v>
      </c>
      <c r="C108" t="s">
        <v>12</v>
      </c>
      <c r="D108">
        <v>62744</v>
      </c>
      <c r="E108" t="s">
        <v>31</v>
      </c>
      <c r="F108" t="s">
        <v>32</v>
      </c>
      <c r="G108" t="s">
        <v>22</v>
      </c>
      <c r="H108">
        <v>2</v>
      </c>
      <c r="I108" t="s">
        <v>27</v>
      </c>
      <c r="J108" t="s">
        <v>28</v>
      </c>
      <c r="K108">
        <v>30</v>
      </c>
      <c r="L108" t="s">
        <v>38</v>
      </c>
      <c r="M108" t="s">
        <v>22</v>
      </c>
    </row>
    <row r="109" spans="1:13" x14ac:dyDescent="0.3">
      <c r="A109">
        <v>108</v>
      </c>
      <c r="B109" t="s">
        <v>40</v>
      </c>
      <c r="C109" t="s">
        <v>12</v>
      </c>
      <c r="D109">
        <v>109198</v>
      </c>
      <c r="E109" t="s">
        <v>13</v>
      </c>
      <c r="F109" t="s">
        <v>36</v>
      </c>
      <c r="G109" t="s">
        <v>22</v>
      </c>
      <c r="H109">
        <v>0</v>
      </c>
      <c r="I109" t="s">
        <v>16</v>
      </c>
      <c r="J109" t="s">
        <v>28</v>
      </c>
      <c r="K109">
        <v>48</v>
      </c>
      <c r="L109" t="s">
        <v>30</v>
      </c>
      <c r="M109" t="s">
        <v>15</v>
      </c>
    </row>
    <row r="110" spans="1:13" x14ac:dyDescent="0.3">
      <c r="A110">
        <v>109</v>
      </c>
      <c r="B110" t="s">
        <v>40</v>
      </c>
      <c r="C110" t="s">
        <v>12</v>
      </c>
      <c r="D110">
        <v>22110</v>
      </c>
      <c r="E110" t="s">
        <v>31</v>
      </c>
      <c r="F110" t="s">
        <v>36</v>
      </c>
      <c r="G110" t="s">
        <v>15</v>
      </c>
      <c r="H110">
        <v>3</v>
      </c>
      <c r="I110" t="s">
        <v>16</v>
      </c>
      <c r="J110" t="s">
        <v>17</v>
      </c>
      <c r="K110">
        <v>31</v>
      </c>
      <c r="L110" t="s">
        <v>18</v>
      </c>
      <c r="M110" t="s">
        <v>15</v>
      </c>
    </row>
    <row r="111" spans="1:13" x14ac:dyDescent="0.3">
      <c r="A111">
        <v>110</v>
      </c>
      <c r="B111" t="s">
        <v>40</v>
      </c>
      <c r="C111" t="s">
        <v>19</v>
      </c>
      <c r="D111">
        <v>57280</v>
      </c>
      <c r="E111" t="s">
        <v>13</v>
      </c>
      <c r="F111" t="s">
        <v>14</v>
      </c>
      <c r="G111" t="s">
        <v>15</v>
      </c>
      <c r="H111">
        <v>0</v>
      </c>
      <c r="I111" t="s">
        <v>37</v>
      </c>
      <c r="J111" t="s">
        <v>28</v>
      </c>
      <c r="K111">
        <v>25</v>
      </c>
      <c r="L111" t="s">
        <v>38</v>
      </c>
      <c r="M111" t="s">
        <v>22</v>
      </c>
    </row>
    <row r="112" spans="1:13" x14ac:dyDescent="0.3">
      <c r="A112">
        <v>111</v>
      </c>
      <c r="B112" t="s">
        <v>40</v>
      </c>
      <c r="C112" t="s">
        <v>12</v>
      </c>
      <c r="D112">
        <v>33551</v>
      </c>
      <c r="E112" t="s">
        <v>26</v>
      </c>
      <c r="F112" t="s">
        <v>21</v>
      </c>
      <c r="G112" t="s">
        <v>22</v>
      </c>
      <c r="H112">
        <v>0</v>
      </c>
      <c r="I112" t="s">
        <v>33</v>
      </c>
      <c r="J112" t="s">
        <v>24</v>
      </c>
      <c r="K112">
        <v>38</v>
      </c>
      <c r="L112" t="s">
        <v>18</v>
      </c>
      <c r="M112" t="s">
        <v>15</v>
      </c>
    </row>
    <row r="113" spans="1:13" x14ac:dyDescent="0.3">
      <c r="A113">
        <v>112</v>
      </c>
      <c r="B113" t="s">
        <v>40</v>
      </c>
      <c r="C113" t="s">
        <v>12</v>
      </c>
      <c r="D113">
        <v>94503</v>
      </c>
      <c r="E113" t="s">
        <v>31</v>
      </c>
      <c r="F113" t="s">
        <v>35</v>
      </c>
      <c r="G113" t="s">
        <v>22</v>
      </c>
      <c r="H113">
        <v>3</v>
      </c>
      <c r="I113" t="s">
        <v>27</v>
      </c>
      <c r="J113" t="s">
        <v>28</v>
      </c>
      <c r="K113">
        <v>39</v>
      </c>
      <c r="L113" t="s">
        <v>18</v>
      </c>
      <c r="M113" t="s">
        <v>15</v>
      </c>
    </row>
    <row r="114" spans="1:13" x14ac:dyDescent="0.3">
      <c r="A114">
        <v>113</v>
      </c>
      <c r="B114" t="s">
        <v>40</v>
      </c>
      <c r="C114" t="s">
        <v>12</v>
      </c>
      <c r="D114">
        <v>58920</v>
      </c>
      <c r="E114" t="s">
        <v>20</v>
      </c>
      <c r="F114" t="s">
        <v>32</v>
      </c>
      <c r="G114" t="s">
        <v>22</v>
      </c>
      <c r="H114">
        <v>3</v>
      </c>
      <c r="I114" t="s">
        <v>27</v>
      </c>
      <c r="J114" t="s">
        <v>17</v>
      </c>
      <c r="K114">
        <v>38</v>
      </c>
      <c r="L114" t="s">
        <v>18</v>
      </c>
      <c r="M114" t="s">
        <v>15</v>
      </c>
    </row>
    <row r="115" spans="1:13" x14ac:dyDescent="0.3">
      <c r="A115">
        <v>114</v>
      </c>
      <c r="B115" t="s">
        <v>41</v>
      </c>
      <c r="C115" t="s">
        <v>12</v>
      </c>
      <c r="D115">
        <v>72679</v>
      </c>
      <c r="E115" t="s">
        <v>13</v>
      </c>
      <c r="F115" t="s">
        <v>21</v>
      </c>
      <c r="G115" t="s">
        <v>15</v>
      </c>
      <c r="H115">
        <v>2</v>
      </c>
      <c r="I115" t="s">
        <v>33</v>
      </c>
      <c r="J115" t="s">
        <v>24</v>
      </c>
      <c r="K115">
        <v>46</v>
      </c>
      <c r="L115" t="s">
        <v>30</v>
      </c>
      <c r="M115" t="s">
        <v>15</v>
      </c>
    </row>
    <row r="116" spans="1:13" x14ac:dyDescent="0.3">
      <c r="A116">
        <v>115</v>
      </c>
      <c r="B116" t="s">
        <v>41</v>
      </c>
      <c r="C116" t="s">
        <v>12</v>
      </c>
      <c r="D116">
        <v>33598</v>
      </c>
      <c r="E116" t="s">
        <v>20</v>
      </c>
      <c r="F116" t="s">
        <v>36</v>
      </c>
      <c r="G116" t="s">
        <v>15</v>
      </c>
      <c r="H116">
        <v>1</v>
      </c>
      <c r="I116" t="s">
        <v>16</v>
      </c>
      <c r="J116" t="s">
        <v>34</v>
      </c>
      <c r="K116">
        <v>48</v>
      </c>
      <c r="L116" t="s">
        <v>30</v>
      </c>
      <c r="M116" t="s">
        <v>15</v>
      </c>
    </row>
    <row r="117" spans="1:13" x14ac:dyDescent="0.3">
      <c r="A117">
        <v>116</v>
      </c>
      <c r="B117" t="s">
        <v>41</v>
      </c>
      <c r="C117" t="s">
        <v>19</v>
      </c>
      <c r="D117">
        <v>77332</v>
      </c>
      <c r="E117" t="s">
        <v>31</v>
      </c>
      <c r="F117" t="s">
        <v>35</v>
      </c>
      <c r="G117" t="s">
        <v>15</v>
      </c>
      <c r="H117">
        <v>2</v>
      </c>
      <c r="I117" t="s">
        <v>33</v>
      </c>
      <c r="J117" t="s">
        <v>34</v>
      </c>
      <c r="K117">
        <v>56</v>
      </c>
      <c r="L117" t="s">
        <v>29</v>
      </c>
      <c r="M117" t="s">
        <v>15</v>
      </c>
    </row>
    <row r="118" spans="1:13" x14ac:dyDescent="0.3">
      <c r="A118">
        <v>117</v>
      </c>
      <c r="B118" t="s">
        <v>41</v>
      </c>
      <c r="C118" t="s">
        <v>19</v>
      </c>
      <c r="D118">
        <v>99437</v>
      </c>
      <c r="E118" t="s">
        <v>31</v>
      </c>
      <c r="F118" t="s">
        <v>14</v>
      </c>
      <c r="G118" t="s">
        <v>22</v>
      </c>
      <c r="H118">
        <v>2</v>
      </c>
      <c r="I118" t="s">
        <v>23</v>
      </c>
      <c r="J118" t="s">
        <v>24</v>
      </c>
      <c r="K118">
        <v>28</v>
      </c>
      <c r="L118" t="s">
        <v>38</v>
      </c>
      <c r="M118" t="s">
        <v>15</v>
      </c>
    </row>
    <row r="119" spans="1:13" x14ac:dyDescent="0.3">
      <c r="A119">
        <v>118</v>
      </c>
      <c r="B119" t="s">
        <v>41</v>
      </c>
      <c r="C119" t="s">
        <v>12</v>
      </c>
      <c r="D119">
        <v>61295</v>
      </c>
      <c r="E119" t="s">
        <v>13</v>
      </c>
      <c r="F119" t="s">
        <v>35</v>
      </c>
      <c r="G119" t="s">
        <v>22</v>
      </c>
      <c r="H119">
        <v>3</v>
      </c>
      <c r="I119" t="s">
        <v>37</v>
      </c>
      <c r="J119" t="s">
        <v>24</v>
      </c>
      <c r="K119">
        <v>22</v>
      </c>
      <c r="L119" t="s">
        <v>38</v>
      </c>
      <c r="M119" t="s">
        <v>15</v>
      </c>
    </row>
    <row r="120" spans="1:13" x14ac:dyDescent="0.3">
      <c r="A120">
        <v>119</v>
      </c>
      <c r="B120" t="s">
        <v>41</v>
      </c>
      <c r="C120" t="s">
        <v>19</v>
      </c>
      <c r="D120">
        <v>71188</v>
      </c>
      <c r="E120" t="s">
        <v>26</v>
      </c>
      <c r="F120" t="s">
        <v>32</v>
      </c>
      <c r="G120" t="s">
        <v>22</v>
      </c>
      <c r="H120">
        <v>0</v>
      </c>
      <c r="I120" t="s">
        <v>27</v>
      </c>
      <c r="J120" t="s">
        <v>28</v>
      </c>
      <c r="K120">
        <v>51</v>
      </c>
      <c r="L120" t="s">
        <v>29</v>
      </c>
      <c r="M120" t="s">
        <v>15</v>
      </c>
    </row>
    <row r="121" spans="1:13" x14ac:dyDescent="0.3">
      <c r="A121">
        <v>120</v>
      </c>
      <c r="B121" t="s">
        <v>41</v>
      </c>
      <c r="C121" t="s">
        <v>12</v>
      </c>
      <c r="D121">
        <v>33890</v>
      </c>
      <c r="E121" t="s">
        <v>13</v>
      </c>
      <c r="F121" t="s">
        <v>35</v>
      </c>
      <c r="G121" t="s">
        <v>22</v>
      </c>
      <c r="H121">
        <v>2</v>
      </c>
      <c r="I121" t="s">
        <v>33</v>
      </c>
      <c r="J121" t="s">
        <v>24</v>
      </c>
      <c r="K121">
        <v>48</v>
      </c>
      <c r="L121" t="s">
        <v>30</v>
      </c>
      <c r="M121" t="s">
        <v>15</v>
      </c>
    </row>
    <row r="122" spans="1:13" x14ac:dyDescent="0.3">
      <c r="A122">
        <v>121</v>
      </c>
      <c r="B122" t="s">
        <v>41</v>
      </c>
      <c r="C122" t="s">
        <v>12</v>
      </c>
      <c r="D122">
        <v>51029</v>
      </c>
      <c r="E122" t="s">
        <v>20</v>
      </c>
      <c r="F122" t="s">
        <v>35</v>
      </c>
      <c r="G122" t="s">
        <v>15</v>
      </c>
      <c r="H122">
        <v>1</v>
      </c>
      <c r="I122" t="s">
        <v>37</v>
      </c>
      <c r="J122" t="s">
        <v>24</v>
      </c>
      <c r="K122">
        <v>47</v>
      </c>
      <c r="L122" t="s">
        <v>30</v>
      </c>
      <c r="M122" t="s">
        <v>15</v>
      </c>
    </row>
    <row r="123" spans="1:13" x14ac:dyDescent="0.3">
      <c r="A123">
        <v>122</v>
      </c>
      <c r="B123" t="s">
        <v>40</v>
      </c>
      <c r="C123" t="s">
        <v>12</v>
      </c>
      <c r="D123">
        <v>85819</v>
      </c>
      <c r="E123" t="s">
        <v>20</v>
      </c>
      <c r="F123" t="s">
        <v>35</v>
      </c>
      <c r="G123" t="s">
        <v>15</v>
      </c>
      <c r="H123">
        <v>3</v>
      </c>
      <c r="I123" t="s">
        <v>27</v>
      </c>
      <c r="J123" t="s">
        <v>34</v>
      </c>
      <c r="K123">
        <v>23</v>
      </c>
      <c r="L123" t="s">
        <v>38</v>
      </c>
      <c r="M123" t="s">
        <v>15</v>
      </c>
    </row>
    <row r="124" spans="1:13" x14ac:dyDescent="0.3">
      <c r="A124">
        <v>123</v>
      </c>
      <c r="B124" t="s">
        <v>40</v>
      </c>
      <c r="C124" t="s">
        <v>19</v>
      </c>
      <c r="D124">
        <v>45383</v>
      </c>
      <c r="E124" t="s">
        <v>31</v>
      </c>
      <c r="F124" t="s">
        <v>14</v>
      </c>
      <c r="G124" t="s">
        <v>22</v>
      </c>
      <c r="H124">
        <v>3</v>
      </c>
      <c r="I124" t="s">
        <v>27</v>
      </c>
      <c r="J124" t="s">
        <v>28</v>
      </c>
      <c r="K124">
        <v>19</v>
      </c>
      <c r="L124" t="s">
        <v>25</v>
      </c>
      <c r="M124" t="s">
        <v>15</v>
      </c>
    </row>
    <row r="125" spans="1:13" x14ac:dyDescent="0.3">
      <c r="A125">
        <v>124</v>
      </c>
      <c r="B125" t="s">
        <v>40</v>
      </c>
      <c r="C125" t="s">
        <v>12</v>
      </c>
      <c r="D125">
        <v>117336</v>
      </c>
      <c r="E125" t="s">
        <v>20</v>
      </c>
      <c r="F125" t="s">
        <v>32</v>
      </c>
      <c r="G125" t="s">
        <v>15</v>
      </c>
      <c r="H125">
        <v>3</v>
      </c>
      <c r="I125" t="s">
        <v>16</v>
      </c>
      <c r="J125" t="s">
        <v>24</v>
      </c>
      <c r="K125">
        <v>42</v>
      </c>
      <c r="L125" t="s">
        <v>30</v>
      </c>
      <c r="M125" t="s">
        <v>15</v>
      </c>
    </row>
    <row r="126" spans="1:13" x14ac:dyDescent="0.3">
      <c r="A126">
        <v>125</v>
      </c>
      <c r="B126" t="s">
        <v>40</v>
      </c>
      <c r="C126" t="s">
        <v>12</v>
      </c>
      <c r="D126">
        <v>33770</v>
      </c>
      <c r="E126" t="s">
        <v>13</v>
      </c>
      <c r="F126" t="s">
        <v>32</v>
      </c>
      <c r="G126" t="s">
        <v>22</v>
      </c>
      <c r="H126">
        <v>2</v>
      </c>
      <c r="I126" t="s">
        <v>27</v>
      </c>
      <c r="J126" t="s">
        <v>28</v>
      </c>
      <c r="K126">
        <v>40</v>
      </c>
      <c r="L126" t="s">
        <v>18</v>
      </c>
      <c r="M126" t="s">
        <v>15</v>
      </c>
    </row>
    <row r="127" spans="1:13" x14ac:dyDescent="0.3">
      <c r="A127">
        <v>126</v>
      </c>
      <c r="B127" t="s">
        <v>40</v>
      </c>
      <c r="C127" t="s">
        <v>19</v>
      </c>
      <c r="D127">
        <v>113000</v>
      </c>
      <c r="E127" t="s">
        <v>26</v>
      </c>
      <c r="F127" t="s">
        <v>32</v>
      </c>
      <c r="G127" t="s">
        <v>22</v>
      </c>
      <c r="H127">
        <v>1</v>
      </c>
      <c r="I127" t="s">
        <v>23</v>
      </c>
      <c r="J127" t="s">
        <v>28</v>
      </c>
      <c r="K127">
        <v>22</v>
      </c>
      <c r="L127" t="s">
        <v>38</v>
      </c>
      <c r="M127" t="s">
        <v>22</v>
      </c>
    </row>
    <row r="128" spans="1:13" x14ac:dyDescent="0.3">
      <c r="A128">
        <v>127</v>
      </c>
      <c r="B128" t="s">
        <v>40</v>
      </c>
      <c r="C128" t="s">
        <v>12</v>
      </c>
      <c r="D128">
        <v>85012</v>
      </c>
      <c r="E128" t="s">
        <v>31</v>
      </c>
      <c r="F128" t="s">
        <v>32</v>
      </c>
      <c r="G128" t="s">
        <v>22</v>
      </c>
      <c r="H128">
        <v>1</v>
      </c>
      <c r="I128" t="s">
        <v>23</v>
      </c>
      <c r="J128" t="s">
        <v>28</v>
      </c>
      <c r="K128">
        <v>54</v>
      </c>
      <c r="L128" t="s">
        <v>29</v>
      </c>
      <c r="M128" t="s">
        <v>15</v>
      </c>
    </row>
    <row r="129" spans="1:13" x14ac:dyDescent="0.3">
      <c r="A129">
        <v>128</v>
      </c>
      <c r="B129" t="s">
        <v>40</v>
      </c>
      <c r="C129" t="s">
        <v>19</v>
      </c>
      <c r="D129">
        <v>70409</v>
      </c>
      <c r="E129" t="s">
        <v>31</v>
      </c>
      <c r="F129" t="s">
        <v>21</v>
      </c>
      <c r="G129" t="s">
        <v>22</v>
      </c>
      <c r="H129">
        <v>0</v>
      </c>
      <c r="I129" t="s">
        <v>37</v>
      </c>
      <c r="J129" t="s">
        <v>28</v>
      </c>
      <c r="K129">
        <v>42</v>
      </c>
      <c r="L129" t="s">
        <v>30</v>
      </c>
      <c r="M129" t="s">
        <v>15</v>
      </c>
    </row>
    <row r="130" spans="1:13" x14ac:dyDescent="0.3">
      <c r="A130">
        <v>129</v>
      </c>
      <c r="B130" t="s">
        <v>40</v>
      </c>
      <c r="C130" t="s">
        <v>12</v>
      </c>
      <c r="D130">
        <v>86446</v>
      </c>
      <c r="E130" t="s">
        <v>13</v>
      </c>
      <c r="F130" t="s">
        <v>35</v>
      </c>
      <c r="G130" t="s">
        <v>15</v>
      </c>
      <c r="H130">
        <v>0</v>
      </c>
      <c r="I130" t="s">
        <v>37</v>
      </c>
      <c r="J130" t="s">
        <v>34</v>
      </c>
      <c r="K130">
        <v>22</v>
      </c>
      <c r="L130" t="s">
        <v>38</v>
      </c>
      <c r="M130" t="s">
        <v>22</v>
      </c>
    </row>
    <row r="131" spans="1:13" x14ac:dyDescent="0.3">
      <c r="A131">
        <v>130</v>
      </c>
      <c r="B131" t="s">
        <v>40</v>
      </c>
      <c r="C131" t="s">
        <v>12</v>
      </c>
      <c r="D131">
        <v>42620</v>
      </c>
      <c r="E131" t="s">
        <v>13</v>
      </c>
      <c r="F131" t="s">
        <v>36</v>
      </c>
      <c r="G131" t="s">
        <v>22</v>
      </c>
      <c r="H131">
        <v>1</v>
      </c>
      <c r="I131" t="s">
        <v>23</v>
      </c>
      <c r="J131" t="s">
        <v>24</v>
      </c>
      <c r="K131">
        <v>53</v>
      </c>
      <c r="L131" t="s">
        <v>29</v>
      </c>
      <c r="M131" t="s">
        <v>15</v>
      </c>
    </row>
    <row r="132" spans="1:13" x14ac:dyDescent="0.3">
      <c r="A132">
        <v>131</v>
      </c>
      <c r="B132" t="s">
        <v>41</v>
      </c>
      <c r="C132" t="s">
        <v>12</v>
      </c>
      <c r="D132">
        <v>32846</v>
      </c>
      <c r="E132" t="s">
        <v>31</v>
      </c>
      <c r="F132" t="s">
        <v>35</v>
      </c>
      <c r="G132" t="s">
        <v>15</v>
      </c>
      <c r="H132">
        <v>0</v>
      </c>
      <c r="I132" t="s">
        <v>37</v>
      </c>
      <c r="J132" t="s">
        <v>28</v>
      </c>
      <c r="K132">
        <v>58</v>
      </c>
      <c r="L132" t="s">
        <v>29</v>
      </c>
      <c r="M132" t="s">
        <v>15</v>
      </c>
    </row>
    <row r="133" spans="1:13" x14ac:dyDescent="0.3">
      <c r="A133">
        <v>132</v>
      </c>
      <c r="B133" t="s">
        <v>41</v>
      </c>
      <c r="C133" t="s">
        <v>12</v>
      </c>
      <c r="D133">
        <v>23559</v>
      </c>
      <c r="E133" t="s">
        <v>26</v>
      </c>
      <c r="F133" t="s">
        <v>35</v>
      </c>
      <c r="G133" t="s">
        <v>15</v>
      </c>
      <c r="H133">
        <v>3</v>
      </c>
      <c r="I133" t="s">
        <v>23</v>
      </c>
      <c r="J133" t="s">
        <v>24</v>
      </c>
      <c r="K133">
        <v>59</v>
      </c>
      <c r="L133" t="s">
        <v>29</v>
      </c>
      <c r="M133" t="s">
        <v>15</v>
      </c>
    </row>
    <row r="134" spans="1:13" x14ac:dyDescent="0.3">
      <c r="A134">
        <v>133</v>
      </c>
      <c r="B134" t="s">
        <v>40</v>
      </c>
      <c r="C134" t="s">
        <v>12</v>
      </c>
      <c r="D134">
        <v>49182</v>
      </c>
      <c r="E134" t="s">
        <v>26</v>
      </c>
      <c r="F134" t="s">
        <v>32</v>
      </c>
      <c r="G134" t="s">
        <v>22</v>
      </c>
      <c r="H134">
        <v>2</v>
      </c>
      <c r="I134" t="s">
        <v>33</v>
      </c>
      <c r="J134" t="s">
        <v>34</v>
      </c>
      <c r="K134">
        <v>51</v>
      </c>
      <c r="L134" t="s">
        <v>29</v>
      </c>
      <c r="M134" t="s">
        <v>15</v>
      </c>
    </row>
    <row r="135" spans="1:13" x14ac:dyDescent="0.3">
      <c r="A135">
        <v>134</v>
      </c>
      <c r="B135" t="s">
        <v>40</v>
      </c>
      <c r="C135" t="s">
        <v>12</v>
      </c>
      <c r="D135">
        <v>32926</v>
      </c>
      <c r="E135" t="s">
        <v>26</v>
      </c>
      <c r="F135" t="s">
        <v>36</v>
      </c>
      <c r="G135" t="s">
        <v>15</v>
      </c>
      <c r="H135">
        <v>0</v>
      </c>
      <c r="I135" t="s">
        <v>16</v>
      </c>
      <c r="J135" t="s">
        <v>28</v>
      </c>
      <c r="K135">
        <v>42</v>
      </c>
      <c r="L135" t="s">
        <v>30</v>
      </c>
      <c r="M135" t="s">
        <v>15</v>
      </c>
    </row>
    <row r="136" spans="1:13" x14ac:dyDescent="0.3">
      <c r="A136">
        <v>135</v>
      </c>
      <c r="B136" t="s">
        <v>41</v>
      </c>
      <c r="C136" t="s">
        <v>19</v>
      </c>
      <c r="D136">
        <v>115468</v>
      </c>
      <c r="E136" t="s">
        <v>20</v>
      </c>
      <c r="F136" t="s">
        <v>32</v>
      </c>
      <c r="G136" t="s">
        <v>22</v>
      </c>
      <c r="H136">
        <v>3</v>
      </c>
      <c r="I136" t="s">
        <v>27</v>
      </c>
      <c r="J136" t="s">
        <v>17</v>
      </c>
      <c r="K136">
        <v>40</v>
      </c>
      <c r="L136" t="s">
        <v>18</v>
      </c>
      <c r="M136" t="s">
        <v>15</v>
      </c>
    </row>
    <row r="137" spans="1:13" x14ac:dyDescent="0.3">
      <c r="A137">
        <v>136</v>
      </c>
      <c r="B137" t="s">
        <v>40</v>
      </c>
      <c r="C137" t="s">
        <v>19</v>
      </c>
      <c r="D137">
        <v>38617</v>
      </c>
      <c r="E137" t="s">
        <v>26</v>
      </c>
      <c r="F137" t="s">
        <v>32</v>
      </c>
      <c r="G137" t="s">
        <v>15</v>
      </c>
      <c r="H137">
        <v>3</v>
      </c>
      <c r="I137" t="s">
        <v>27</v>
      </c>
      <c r="J137" t="s">
        <v>24</v>
      </c>
      <c r="K137">
        <v>43</v>
      </c>
      <c r="L137" t="s">
        <v>30</v>
      </c>
      <c r="M137" t="s">
        <v>15</v>
      </c>
    </row>
    <row r="138" spans="1:13" x14ac:dyDescent="0.3">
      <c r="A138">
        <v>137</v>
      </c>
      <c r="B138" t="s">
        <v>40</v>
      </c>
      <c r="C138" t="s">
        <v>12</v>
      </c>
      <c r="D138">
        <v>82838</v>
      </c>
      <c r="E138" t="s">
        <v>26</v>
      </c>
      <c r="F138" t="s">
        <v>36</v>
      </c>
      <c r="G138" t="s">
        <v>15</v>
      </c>
      <c r="H138">
        <v>1</v>
      </c>
      <c r="I138" t="s">
        <v>27</v>
      </c>
      <c r="J138" t="s">
        <v>28</v>
      </c>
      <c r="K138">
        <v>51</v>
      </c>
      <c r="L138" t="s">
        <v>29</v>
      </c>
      <c r="M138" t="s">
        <v>15</v>
      </c>
    </row>
    <row r="139" spans="1:13" x14ac:dyDescent="0.3">
      <c r="A139">
        <v>138</v>
      </c>
      <c r="B139" t="s">
        <v>41</v>
      </c>
      <c r="C139" t="s">
        <v>12</v>
      </c>
      <c r="D139">
        <v>78819</v>
      </c>
      <c r="E139" t="s">
        <v>20</v>
      </c>
      <c r="F139" t="s">
        <v>35</v>
      </c>
      <c r="G139" t="s">
        <v>15</v>
      </c>
      <c r="H139">
        <v>1</v>
      </c>
      <c r="I139" t="s">
        <v>23</v>
      </c>
      <c r="J139" t="s">
        <v>34</v>
      </c>
      <c r="K139">
        <v>24</v>
      </c>
      <c r="L139" t="s">
        <v>38</v>
      </c>
      <c r="M139" t="s">
        <v>22</v>
      </c>
    </row>
    <row r="140" spans="1:13" x14ac:dyDescent="0.3">
      <c r="A140">
        <v>139</v>
      </c>
      <c r="B140" t="s">
        <v>40</v>
      </c>
      <c r="C140" t="s">
        <v>19</v>
      </c>
      <c r="D140">
        <v>114721</v>
      </c>
      <c r="E140" t="s">
        <v>26</v>
      </c>
      <c r="F140" t="s">
        <v>36</v>
      </c>
      <c r="G140" t="s">
        <v>15</v>
      </c>
      <c r="H140">
        <v>3</v>
      </c>
      <c r="I140" t="s">
        <v>27</v>
      </c>
      <c r="J140" t="s">
        <v>28</v>
      </c>
      <c r="K140">
        <v>21</v>
      </c>
      <c r="L140" t="s">
        <v>38</v>
      </c>
      <c r="M140" t="s">
        <v>15</v>
      </c>
    </row>
    <row r="141" spans="1:13" x14ac:dyDescent="0.3">
      <c r="A141">
        <v>140</v>
      </c>
      <c r="B141" t="s">
        <v>40</v>
      </c>
      <c r="C141" t="s">
        <v>19</v>
      </c>
      <c r="D141">
        <v>39018</v>
      </c>
      <c r="E141" t="s">
        <v>20</v>
      </c>
      <c r="F141" t="s">
        <v>21</v>
      </c>
      <c r="G141" t="s">
        <v>15</v>
      </c>
      <c r="H141">
        <v>3</v>
      </c>
      <c r="I141" t="s">
        <v>23</v>
      </c>
      <c r="J141" t="s">
        <v>34</v>
      </c>
      <c r="K141">
        <v>26</v>
      </c>
      <c r="L141" t="s">
        <v>38</v>
      </c>
      <c r="M141" t="s">
        <v>15</v>
      </c>
    </row>
    <row r="142" spans="1:13" x14ac:dyDescent="0.3">
      <c r="A142">
        <v>141</v>
      </c>
      <c r="B142" t="s">
        <v>40</v>
      </c>
      <c r="C142" t="s">
        <v>12</v>
      </c>
      <c r="D142">
        <v>75634</v>
      </c>
      <c r="E142" t="s">
        <v>26</v>
      </c>
      <c r="F142" t="s">
        <v>21</v>
      </c>
      <c r="G142" t="s">
        <v>22</v>
      </c>
      <c r="H142">
        <v>1</v>
      </c>
      <c r="I142" t="s">
        <v>33</v>
      </c>
      <c r="J142" t="s">
        <v>24</v>
      </c>
      <c r="K142">
        <v>23</v>
      </c>
      <c r="L142" t="s">
        <v>38</v>
      </c>
      <c r="M142" t="s">
        <v>15</v>
      </c>
    </row>
    <row r="143" spans="1:13" x14ac:dyDescent="0.3">
      <c r="A143">
        <v>142</v>
      </c>
      <c r="B143" t="s">
        <v>40</v>
      </c>
      <c r="C143" t="s">
        <v>12</v>
      </c>
      <c r="D143">
        <v>115630</v>
      </c>
      <c r="E143" t="s">
        <v>26</v>
      </c>
      <c r="F143" t="s">
        <v>36</v>
      </c>
      <c r="G143" t="s">
        <v>15</v>
      </c>
      <c r="H143">
        <v>2</v>
      </c>
      <c r="I143" t="s">
        <v>27</v>
      </c>
      <c r="J143" t="s">
        <v>34</v>
      </c>
      <c r="K143">
        <v>21</v>
      </c>
      <c r="L143" t="s">
        <v>38</v>
      </c>
      <c r="M143" t="s">
        <v>15</v>
      </c>
    </row>
    <row r="144" spans="1:13" x14ac:dyDescent="0.3">
      <c r="A144">
        <v>143</v>
      </c>
      <c r="B144" t="s">
        <v>40</v>
      </c>
      <c r="C144" t="s">
        <v>12</v>
      </c>
      <c r="D144">
        <v>30016</v>
      </c>
      <c r="E144" t="s">
        <v>31</v>
      </c>
      <c r="F144" t="s">
        <v>36</v>
      </c>
      <c r="G144" t="s">
        <v>22</v>
      </c>
      <c r="H144">
        <v>0</v>
      </c>
      <c r="I144" t="s">
        <v>16</v>
      </c>
      <c r="J144" t="s">
        <v>34</v>
      </c>
      <c r="K144">
        <v>33</v>
      </c>
      <c r="L144" t="s">
        <v>18</v>
      </c>
      <c r="M144" t="s">
        <v>15</v>
      </c>
    </row>
    <row r="145" spans="1:13" x14ac:dyDescent="0.3">
      <c r="A145">
        <v>144</v>
      </c>
      <c r="B145" t="s">
        <v>40</v>
      </c>
      <c r="C145" t="s">
        <v>12</v>
      </c>
      <c r="D145">
        <v>103652</v>
      </c>
      <c r="E145" t="s">
        <v>13</v>
      </c>
      <c r="F145" t="s">
        <v>21</v>
      </c>
      <c r="G145" t="s">
        <v>15</v>
      </c>
      <c r="H145">
        <v>0</v>
      </c>
      <c r="I145" t="s">
        <v>33</v>
      </c>
      <c r="J145" t="s">
        <v>34</v>
      </c>
      <c r="K145">
        <v>35</v>
      </c>
      <c r="L145" t="s">
        <v>18</v>
      </c>
      <c r="M145" t="s">
        <v>15</v>
      </c>
    </row>
    <row r="146" spans="1:13" x14ac:dyDescent="0.3">
      <c r="A146">
        <v>145</v>
      </c>
      <c r="B146" t="s">
        <v>40</v>
      </c>
      <c r="C146" t="s">
        <v>19</v>
      </c>
      <c r="D146">
        <v>39919</v>
      </c>
      <c r="E146" t="s">
        <v>13</v>
      </c>
      <c r="F146" t="s">
        <v>14</v>
      </c>
      <c r="G146" t="s">
        <v>22</v>
      </c>
      <c r="H146">
        <v>1</v>
      </c>
      <c r="I146" t="s">
        <v>37</v>
      </c>
      <c r="J146" t="s">
        <v>28</v>
      </c>
      <c r="K146">
        <v>20</v>
      </c>
      <c r="L146" t="s">
        <v>25</v>
      </c>
      <c r="M146" t="s">
        <v>15</v>
      </c>
    </row>
    <row r="147" spans="1:13" x14ac:dyDescent="0.3">
      <c r="A147">
        <v>146</v>
      </c>
      <c r="B147" t="s">
        <v>40</v>
      </c>
      <c r="C147" t="s">
        <v>19</v>
      </c>
      <c r="D147">
        <v>88950</v>
      </c>
      <c r="E147" t="s">
        <v>13</v>
      </c>
      <c r="F147" t="s">
        <v>32</v>
      </c>
      <c r="G147" t="s">
        <v>22</v>
      </c>
      <c r="H147">
        <v>2</v>
      </c>
      <c r="I147" t="s">
        <v>23</v>
      </c>
      <c r="J147" t="s">
        <v>24</v>
      </c>
      <c r="K147">
        <v>59</v>
      </c>
      <c r="L147" t="s">
        <v>29</v>
      </c>
      <c r="M147" t="s">
        <v>15</v>
      </c>
    </row>
    <row r="148" spans="1:13" x14ac:dyDescent="0.3">
      <c r="A148">
        <v>147</v>
      </c>
      <c r="B148" t="s">
        <v>40</v>
      </c>
      <c r="C148" t="s">
        <v>19</v>
      </c>
      <c r="D148">
        <v>118254</v>
      </c>
      <c r="E148" t="s">
        <v>13</v>
      </c>
      <c r="F148" t="s">
        <v>21</v>
      </c>
      <c r="G148" t="s">
        <v>15</v>
      </c>
      <c r="H148">
        <v>0</v>
      </c>
      <c r="I148" t="s">
        <v>37</v>
      </c>
      <c r="J148" t="s">
        <v>34</v>
      </c>
      <c r="K148">
        <v>19</v>
      </c>
      <c r="L148" t="s">
        <v>25</v>
      </c>
      <c r="M148" t="s">
        <v>22</v>
      </c>
    </row>
    <row r="149" spans="1:13" x14ac:dyDescent="0.3">
      <c r="A149">
        <v>148</v>
      </c>
      <c r="B149" t="s">
        <v>40</v>
      </c>
      <c r="C149" t="s">
        <v>12</v>
      </c>
      <c r="D149">
        <v>31080</v>
      </c>
      <c r="E149" t="s">
        <v>13</v>
      </c>
      <c r="F149" t="s">
        <v>35</v>
      </c>
      <c r="G149" t="s">
        <v>22</v>
      </c>
      <c r="H149">
        <v>3</v>
      </c>
      <c r="I149" t="s">
        <v>23</v>
      </c>
      <c r="J149" t="s">
        <v>34</v>
      </c>
      <c r="K149">
        <v>47</v>
      </c>
      <c r="L149" t="s">
        <v>30</v>
      </c>
      <c r="M149" t="s">
        <v>15</v>
      </c>
    </row>
    <row r="150" spans="1:13" x14ac:dyDescent="0.3">
      <c r="A150">
        <v>149</v>
      </c>
      <c r="B150" t="s">
        <v>40</v>
      </c>
      <c r="C150" t="s">
        <v>12</v>
      </c>
      <c r="D150">
        <v>33363</v>
      </c>
      <c r="E150" t="s">
        <v>13</v>
      </c>
      <c r="F150" t="s">
        <v>36</v>
      </c>
      <c r="G150" t="s">
        <v>22</v>
      </c>
      <c r="H150">
        <v>3</v>
      </c>
      <c r="I150" t="s">
        <v>37</v>
      </c>
      <c r="J150" t="s">
        <v>24</v>
      </c>
      <c r="K150">
        <v>45</v>
      </c>
      <c r="L150" t="s">
        <v>30</v>
      </c>
      <c r="M150" t="s">
        <v>15</v>
      </c>
    </row>
    <row r="151" spans="1:13" x14ac:dyDescent="0.3">
      <c r="A151">
        <v>150</v>
      </c>
      <c r="B151" t="s">
        <v>40</v>
      </c>
      <c r="C151" t="s">
        <v>12</v>
      </c>
      <c r="D151">
        <v>26341</v>
      </c>
      <c r="E151" t="s">
        <v>13</v>
      </c>
      <c r="F151" t="s">
        <v>36</v>
      </c>
      <c r="G151" t="s">
        <v>15</v>
      </c>
      <c r="H151">
        <v>3</v>
      </c>
      <c r="I151" t="s">
        <v>33</v>
      </c>
      <c r="J151" t="s">
        <v>17</v>
      </c>
      <c r="K151">
        <v>58</v>
      </c>
      <c r="L151" t="s">
        <v>29</v>
      </c>
      <c r="M151" t="s">
        <v>15</v>
      </c>
    </row>
    <row r="152" spans="1:13" x14ac:dyDescent="0.3">
      <c r="A152">
        <v>151</v>
      </c>
      <c r="B152" t="s">
        <v>40</v>
      </c>
      <c r="C152" t="s">
        <v>19</v>
      </c>
      <c r="D152">
        <v>106682</v>
      </c>
      <c r="E152" t="s">
        <v>20</v>
      </c>
      <c r="F152" t="s">
        <v>14</v>
      </c>
      <c r="G152" t="s">
        <v>22</v>
      </c>
      <c r="H152">
        <v>0</v>
      </c>
      <c r="I152" t="s">
        <v>33</v>
      </c>
      <c r="J152" t="s">
        <v>28</v>
      </c>
      <c r="K152">
        <v>45</v>
      </c>
      <c r="L152" t="s">
        <v>30</v>
      </c>
      <c r="M152" t="s">
        <v>15</v>
      </c>
    </row>
    <row r="153" spans="1:13" x14ac:dyDescent="0.3">
      <c r="A153">
        <v>152</v>
      </c>
      <c r="B153" t="s">
        <v>40</v>
      </c>
      <c r="C153" t="s">
        <v>19</v>
      </c>
      <c r="D153">
        <v>51121</v>
      </c>
      <c r="E153" t="s">
        <v>13</v>
      </c>
      <c r="F153" t="s">
        <v>36</v>
      </c>
      <c r="G153" t="s">
        <v>22</v>
      </c>
      <c r="H153">
        <v>2</v>
      </c>
      <c r="I153" t="s">
        <v>27</v>
      </c>
      <c r="J153" t="s">
        <v>34</v>
      </c>
      <c r="K153">
        <v>26</v>
      </c>
      <c r="L153" t="s">
        <v>38</v>
      </c>
      <c r="M153" t="s">
        <v>15</v>
      </c>
    </row>
    <row r="154" spans="1:13" x14ac:dyDescent="0.3">
      <c r="A154">
        <v>153</v>
      </c>
      <c r="B154" t="s">
        <v>40</v>
      </c>
      <c r="C154" t="s">
        <v>12</v>
      </c>
      <c r="D154">
        <v>76894</v>
      </c>
      <c r="E154" t="s">
        <v>20</v>
      </c>
      <c r="F154" t="s">
        <v>14</v>
      </c>
      <c r="G154" t="s">
        <v>22</v>
      </c>
      <c r="H154">
        <v>3</v>
      </c>
      <c r="I154" t="s">
        <v>16</v>
      </c>
      <c r="J154" t="s">
        <v>24</v>
      </c>
      <c r="K154">
        <v>28</v>
      </c>
      <c r="L154" t="s">
        <v>38</v>
      </c>
      <c r="M154" t="s">
        <v>15</v>
      </c>
    </row>
    <row r="155" spans="1:13" x14ac:dyDescent="0.3">
      <c r="A155">
        <v>154</v>
      </c>
      <c r="B155" t="s">
        <v>40</v>
      </c>
      <c r="C155" t="s">
        <v>12</v>
      </c>
      <c r="D155">
        <v>97171</v>
      </c>
      <c r="E155" t="s">
        <v>20</v>
      </c>
      <c r="F155" t="s">
        <v>14</v>
      </c>
      <c r="G155" t="s">
        <v>22</v>
      </c>
      <c r="H155">
        <v>3</v>
      </c>
      <c r="I155" t="s">
        <v>23</v>
      </c>
      <c r="J155" t="s">
        <v>28</v>
      </c>
      <c r="K155">
        <v>49</v>
      </c>
      <c r="L155" t="s">
        <v>30</v>
      </c>
      <c r="M155" t="s">
        <v>15</v>
      </c>
    </row>
    <row r="156" spans="1:13" x14ac:dyDescent="0.3">
      <c r="A156">
        <v>155</v>
      </c>
      <c r="B156" t="s">
        <v>40</v>
      </c>
      <c r="C156" t="s">
        <v>19</v>
      </c>
      <c r="D156">
        <v>100988</v>
      </c>
      <c r="E156" t="s">
        <v>31</v>
      </c>
      <c r="F156" t="s">
        <v>14</v>
      </c>
      <c r="G156" t="s">
        <v>22</v>
      </c>
      <c r="H156">
        <v>3</v>
      </c>
      <c r="I156" t="s">
        <v>37</v>
      </c>
      <c r="J156" t="s">
        <v>24</v>
      </c>
      <c r="K156">
        <v>19</v>
      </c>
      <c r="L156" t="s">
        <v>25</v>
      </c>
      <c r="M156" t="s">
        <v>15</v>
      </c>
    </row>
    <row r="157" spans="1:13" x14ac:dyDescent="0.3">
      <c r="A157">
        <v>156</v>
      </c>
      <c r="B157" t="s">
        <v>40</v>
      </c>
      <c r="C157" t="s">
        <v>12</v>
      </c>
      <c r="D157">
        <v>80729</v>
      </c>
      <c r="E157" t="s">
        <v>31</v>
      </c>
      <c r="F157" t="s">
        <v>21</v>
      </c>
      <c r="G157" t="s">
        <v>15</v>
      </c>
      <c r="H157">
        <v>1</v>
      </c>
      <c r="I157" t="s">
        <v>16</v>
      </c>
      <c r="J157" t="s">
        <v>28</v>
      </c>
      <c r="K157">
        <v>18</v>
      </c>
      <c r="L157" t="s">
        <v>25</v>
      </c>
      <c r="M157" t="s">
        <v>22</v>
      </c>
    </row>
    <row r="158" spans="1:13" x14ac:dyDescent="0.3">
      <c r="A158">
        <v>157</v>
      </c>
      <c r="B158" t="s">
        <v>40</v>
      </c>
      <c r="C158" t="s">
        <v>19</v>
      </c>
      <c r="D158">
        <v>104059</v>
      </c>
      <c r="E158" t="s">
        <v>26</v>
      </c>
      <c r="F158" t="s">
        <v>21</v>
      </c>
      <c r="G158" t="s">
        <v>15</v>
      </c>
      <c r="H158">
        <v>1</v>
      </c>
      <c r="I158" t="s">
        <v>27</v>
      </c>
      <c r="J158" t="s">
        <v>24</v>
      </c>
      <c r="K158">
        <v>48</v>
      </c>
      <c r="L158" t="s">
        <v>30</v>
      </c>
      <c r="M158" t="s">
        <v>15</v>
      </c>
    </row>
    <row r="159" spans="1:13" x14ac:dyDescent="0.3">
      <c r="A159">
        <v>158</v>
      </c>
      <c r="B159" t="s">
        <v>40</v>
      </c>
      <c r="C159" t="s">
        <v>19</v>
      </c>
      <c r="D159">
        <v>83283</v>
      </c>
      <c r="E159" t="s">
        <v>13</v>
      </c>
      <c r="F159" t="s">
        <v>14</v>
      </c>
      <c r="G159" t="s">
        <v>15</v>
      </c>
      <c r="H159">
        <v>0</v>
      </c>
      <c r="I159" t="s">
        <v>37</v>
      </c>
      <c r="J159" t="s">
        <v>34</v>
      </c>
      <c r="K159">
        <v>49</v>
      </c>
      <c r="L159" t="s">
        <v>30</v>
      </c>
      <c r="M159" t="s">
        <v>15</v>
      </c>
    </row>
    <row r="160" spans="1:13" x14ac:dyDescent="0.3">
      <c r="A160">
        <v>159</v>
      </c>
      <c r="B160" t="s">
        <v>40</v>
      </c>
      <c r="C160" t="s">
        <v>12</v>
      </c>
      <c r="D160">
        <v>93820</v>
      </c>
      <c r="E160" t="s">
        <v>20</v>
      </c>
      <c r="F160" t="s">
        <v>35</v>
      </c>
      <c r="G160" t="s">
        <v>22</v>
      </c>
      <c r="H160">
        <v>0</v>
      </c>
      <c r="I160" t="s">
        <v>27</v>
      </c>
      <c r="J160" t="s">
        <v>24</v>
      </c>
      <c r="K160">
        <v>38</v>
      </c>
      <c r="L160" t="s">
        <v>18</v>
      </c>
      <c r="M160" t="s">
        <v>22</v>
      </c>
    </row>
    <row r="161" spans="1:13" x14ac:dyDescent="0.3">
      <c r="A161">
        <v>160</v>
      </c>
      <c r="B161" t="s">
        <v>40</v>
      </c>
      <c r="C161" t="s">
        <v>12</v>
      </c>
      <c r="D161">
        <v>25897</v>
      </c>
      <c r="E161" t="s">
        <v>13</v>
      </c>
      <c r="F161" t="s">
        <v>32</v>
      </c>
      <c r="G161" t="s">
        <v>22</v>
      </c>
      <c r="H161">
        <v>0</v>
      </c>
      <c r="I161" t="s">
        <v>33</v>
      </c>
      <c r="J161" t="s">
        <v>28</v>
      </c>
      <c r="K161">
        <v>22</v>
      </c>
      <c r="L161" t="s">
        <v>38</v>
      </c>
      <c r="M161" t="s">
        <v>15</v>
      </c>
    </row>
    <row r="162" spans="1:13" x14ac:dyDescent="0.3">
      <c r="A162">
        <v>161</v>
      </c>
      <c r="B162" t="s">
        <v>40</v>
      </c>
      <c r="C162" t="s">
        <v>12</v>
      </c>
      <c r="D162">
        <v>88270</v>
      </c>
      <c r="E162" t="s">
        <v>13</v>
      </c>
      <c r="F162" t="s">
        <v>32</v>
      </c>
      <c r="G162" t="s">
        <v>15</v>
      </c>
      <c r="H162">
        <v>2</v>
      </c>
      <c r="I162" t="s">
        <v>27</v>
      </c>
      <c r="J162" t="s">
        <v>24</v>
      </c>
      <c r="K162">
        <v>56</v>
      </c>
      <c r="L162" t="s">
        <v>29</v>
      </c>
      <c r="M162" t="s">
        <v>15</v>
      </c>
    </row>
    <row r="163" spans="1:13" x14ac:dyDescent="0.3">
      <c r="A163">
        <v>162</v>
      </c>
      <c r="B163" t="s">
        <v>40</v>
      </c>
      <c r="C163" t="s">
        <v>19</v>
      </c>
      <c r="D163">
        <v>86785</v>
      </c>
      <c r="E163" t="s">
        <v>13</v>
      </c>
      <c r="F163" t="s">
        <v>35</v>
      </c>
      <c r="G163" t="s">
        <v>22</v>
      </c>
      <c r="H163">
        <v>0</v>
      </c>
      <c r="I163" t="s">
        <v>16</v>
      </c>
      <c r="J163" t="s">
        <v>28</v>
      </c>
      <c r="K163">
        <v>22</v>
      </c>
      <c r="L163" t="s">
        <v>38</v>
      </c>
      <c r="M163" t="s">
        <v>22</v>
      </c>
    </row>
    <row r="164" spans="1:13" x14ac:dyDescent="0.3">
      <c r="A164">
        <v>163</v>
      </c>
      <c r="B164" t="s">
        <v>40</v>
      </c>
      <c r="C164" t="s">
        <v>12</v>
      </c>
      <c r="D164">
        <v>41038</v>
      </c>
      <c r="E164" t="s">
        <v>20</v>
      </c>
      <c r="F164" t="s">
        <v>35</v>
      </c>
      <c r="G164" t="s">
        <v>15</v>
      </c>
      <c r="H164">
        <v>1</v>
      </c>
      <c r="I164" t="s">
        <v>23</v>
      </c>
      <c r="J164" t="s">
        <v>28</v>
      </c>
      <c r="K164">
        <v>21</v>
      </c>
      <c r="L164" t="s">
        <v>38</v>
      </c>
      <c r="M164" t="s">
        <v>15</v>
      </c>
    </row>
    <row r="165" spans="1:13" x14ac:dyDescent="0.3">
      <c r="A165">
        <v>164</v>
      </c>
      <c r="B165" t="s">
        <v>41</v>
      </c>
      <c r="C165" t="s">
        <v>12</v>
      </c>
      <c r="D165">
        <v>116426</v>
      </c>
      <c r="E165" t="s">
        <v>31</v>
      </c>
      <c r="F165" t="s">
        <v>32</v>
      </c>
      <c r="G165" t="s">
        <v>15</v>
      </c>
      <c r="H165">
        <v>2</v>
      </c>
      <c r="I165" t="s">
        <v>23</v>
      </c>
      <c r="J165" t="s">
        <v>28</v>
      </c>
      <c r="K165">
        <v>54</v>
      </c>
      <c r="L165" t="s">
        <v>29</v>
      </c>
      <c r="M165" t="s">
        <v>15</v>
      </c>
    </row>
    <row r="166" spans="1:13" x14ac:dyDescent="0.3">
      <c r="A166">
        <v>165</v>
      </c>
      <c r="B166" t="s">
        <v>40</v>
      </c>
      <c r="C166" t="s">
        <v>12</v>
      </c>
      <c r="D166">
        <v>114407</v>
      </c>
      <c r="E166" t="s">
        <v>31</v>
      </c>
      <c r="F166" t="s">
        <v>32</v>
      </c>
      <c r="G166" t="s">
        <v>22</v>
      </c>
      <c r="H166">
        <v>1</v>
      </c>
      <c r="I166" t="s">
        <v>33</v>
      </c>
      <c r="J166" t="s">
        <v>34</v>
      </c>
      <c r="K166">
        <v>30</v>
      </c>
      <c r="L166" t="s">
        <v>38</v>
      </c>
      <c r="M166" t="s">
        <v>22</v>
      </c>
    </row>
    <row r="167" spans="1:13" x14ac:dyDescent="0.3">
      <c r="A167">
        <v>166</v>
      </c>
      <c r="B167" t="s">
        <v>40</v>
      </c>
      <c r="C167" t="s">
        <v>12</v>
      </c>
      <c r="D167">
        <v>36236</v>
      </c>
      <c r="E167" t="s">
        <v>31</v>
      </c>
      <c r="F167" t="s">
        <v>32</v>
      </c>
      <c r="G167" t="s">
        <v>22</v>
      </c>
      <c r="H167">
        <v>0</v>
      </c>
      <c r="I167" t="s">
        <v>33</v>
      </c>
      <c r="J167" t="s">
        <v>24</v>
      </c>
      <c r="K167">
        <v>42</v>
      </c>
      <c r="L167" t="s">
        <v>30</v>
      </c>
      <c r="M167" t="s">
        <v>15</v>
      </c>
    </row>
    <row r="168" spans="1:13" x14ac:dyDescent="0.3">
      <c r="A168">
        <v>167</v>
      </c>
      <c r="B168" t="s">
        <v>41</v>
      </c>
      <c r="C168" t="s">
        <v>19</v>
      </c>
      <c r="D168">
        <v>82544</v>
      </c>
      <c r="E168" t="s">
        <v>31</v>
      </c>
      <c r="F168" t="s">
        <v>14</v>
      </c>
      <c r="G168" t="s">
        <v>22</v>
      </c>
      <c r="H168">
        <v>3</v>
      </c>
      <c r="I168" t="s">
        <v>27</v>
      </c>
      <c r="J168" t="s">
        <v>17</v>
      </c>
      <c r="K168">
        <v>19</v>
      </c>
      <c r="L168" t="s">
        <v>25</v>
      </c>
      <c r="M168" t="s">
        <v>15</v>
      </c>
    </row>
    <row r="169" spans="1:13" x14ac:dyDescent="0.3">
      <c r="A169">
        <v>168</v>
      </c>
      <c r="B169" t="s">
        <v>40</v>
      </c>
      <c r="C169" t="s">
        <v>12</v>
      </c>
      <c r="D169">
        <v>84131</v>
      </c>
      <c r="E169" t="s">
        <v>26</v>
      </c>
      <c r="F169" t="s">
        <v>14</v>
      </c>
      <c r="G169" t="s">
        <v>15</v>
      </c>
      <c r="H169">
        <v>1</v>
      </c>
      <c r="I169" t="s">
        <v>37</v>
      </c>
      <c r="J169" t="s">
        <v>34</v>
      </c>
      <c r="K169">
        <v>36</v>
      </c>
      <c r="L169" t="s">
        <v>18</v>
      </c>
      <c r="M169" t="s">
        <v>15</v>
      </c>
    </row>
    <row r="170" spans="1:13" x14ac:dyDescent="0.3">
      <c r="A170">
        <v>169</v>
      </c>
      <c r="B170" t="s">
        <v>40</v>
      </c>
      <c r="C170" t="s">
        <v>12</v>
      </c>
      <c r="D170">
        <v>88669</v>
      </c>
      <c r="E170" t="s">
        <v>26</v>
      </c>
      <c r="F170" t="s">
        <v>14</v>
      </c>
      <c r="G170" t="s">
        <v>15</v>
      </c>
      <c r="H170">
        <v>2</v>
      </c>
      <c r="I170" t="s">
        <v>37</v>
      </c>
      <c r="J170" t="s">
        <v>17</v>
      </c>
      <c r="K170">
        <v>54</v>
      </c>
      <c r="L170" t="s">
        <v>29</v>
      </c>
      <c r="M170" t="s">
        <v>15</v>
      </c>
    </row>
    <row r="171" spans="1:13" x14ac:dyDescent="0.3">
      <c r="A171">
        <v>170</v>
      </c>
      <c r="B171" t="s">
        <v>40</v>
      </c>
      <c r="C171" t="s">
        <v>19</v>
      </c>
      <c r="D171">
        <v>61544</v>
      </c>
      <c r="E171" t="s">
        <v>13</v>
      </c>
      <c r="F171" t="s">
        <v>14</v>
      </c>
      <c r="G171" t="s">
        <v>15</v>
      </c>
      <c r="H171">
        <v>0</v>
      </c>
      <c r="I171" t="s">
        <v>33</v>
      </c>
      <c r="J171" t="s">
        <v>24</v>
      </c>
      <c r="K171">
        <v>55</v>
      </c>
      <c r="L171" t="s">
        <v>29</v>
      </c>
      <c r="M171" t="s">
        <v>15</v>
      </c>
    </row>
    <row r="172" spans="1:13" x14ac:dyDescent="0.3">
      <c r="A172">
        <v>171</v>
      </c>
      <c r="B172" t="s">
        <v>40</v>
      </c>
      <c r="C172" t="s">
        <v>12</v>
      </c>
      <c r="D172">
        <v>32412</v>
      </c>
      <c r="E172" t="s">
        <v>26</v>
      </c>
      <c r="F172" t="s">
        <v>36</v>
      </c>
      <c r="G172" t="s">
        <v>15</v>
      </c>
      <c r="H172">
        <v>0</v>
      </c>
      <c r="I172" t="s">
        <v>33</v>
      </c>
      <c r="J172" t="s">
        <v>28</v>
      </c>
      <c r="K172">
        <v>46</v>
      </c>
      <c r="L172" t="s">
        <v>30</v>
      </c>
      <c r="M172" t="s">
        <v>15</v>
      </c>
    </row>
    <row r="173" spans="1:13" x14ac:dyDescent="0.3">
      <c r="A173">
        <v>172</v>
      </c>
      <c r="B173" t="s">
        <v>40</v>
      </c>
      <c r="C173" t="s">
        <v>19</v>
      </c>
      <c r="D173">
        <v>81556</v>
      </c>
      <c r="E173" t="s">
        <v>26</v>
      </c>
      <c r="F173" t="s">
        <v>21</v>
      </c>
      <c r="G173" t="s">
        <v>15</v>
      </c>
      <c r="H173">
        <v>1</v>
      </c>
      <c r="I173" t="s">
        <v>23</v>
      </c>
      <c r="J173" t="s">
        <v>28</v>
      </c>
      <c r="K173">
        <v>29</v>
      </c>
      <c r="L173" t="s">
        <v>38</v>
      </c>
      <c r="M173" t="s">
        <v>22</v>
      </c>
    </row>
    <row r="174" spans="1:13" x14ac:dyDescent="0.3">
      <c r="A174">
        <v>173</v>
      </c>
      <c r="B174" t="s">
        <v>40</v>
      </c>
      <c r="C174" t="s">
        <v>19</v>
      </c>
      <c r="D174">
        <v>102450</v>
      </c>
      <c r="E174" t="s">
        <v>20</v>
      </c>
      <c r="F174" t="s">
        <v>21</v>
      </c>
      <c r="G174" t="s">
        <v>22</v>
      </c>
      <c r="H174">
        <v>2</v>
      </c>
      <c r="I174" t="s">
        <v>23</v>
      </c>
      <c r="J174" t="s">
        <v>28</v>
      </c>
      <c r="K174">
        <v>25</v>
      </c>
      <c r="L174" t="s">
        <v>38</v>
      </c>
      <c r="M174" t="s">
        <v>15</v>
      </c>
    </row>
    <row r="175" spans="1:13" x14ac:dyDescent="0.3">
      <c r="A175">
        <v>174</v>
      </c>
      <c r="B175" t="s">
        <v>40</v>
      </c>
      <c r="C175" t="s">
        <v>12</v>
      </c>
      <c r="D175">
        <v>85584</v>
      </c>
      <c r="E175" t="s">
        <v>26</v>
      </c>
      <c r="F175" t="s">
        <v>36</v>
      </c>
      <c r="G175" t="s">
        <v>15</v>
      </c>
      <c r="H175">
        <v>0</v>
      </c>
      <c r="I175" t="s">
        <v>16</v>
      </c>
      <c r="J175" t="s">
        <v>34</v>
      </c>
      <c r="K175">
        <v>44</v>
      </c>
      <c r="L175" t="s">
        <v>30</v>
      </c>
      <c r="M175" t="s">
        <v>22</v>
      </c>
    </row>
    <row r="176" spans="1:13" x14ac:dyDescent="0.3">
      <c r="A176">
        <v>175</v>
      </c>
      <c r="B176" t="s">
        <v>41</v>
      </c>
      <c r="C176" t="s">
        <v>19</v>
      </c>
      <c r="D176">
        <v>110272</v>
      </c>
      <c r="E176" t="s">
        <v>26</v>
      </c>
      <c r="F176" t="s">
        <v>21</v>
      </c>
      <c r="G176" t="s">
        <v>22</v>
      </c>
      <c r="H176">
        <v>0</v>
      </c>
      <c r="I176" t="s">
        <v>23</v>
      </c>
      <c r="J176" t="s">
        <v>24</v>
      </c>
      <c r="K176">
        <v>31</v>
      </c>
      <c r="L176" t="s">
        <v>18</v>
      </c>
      <c r="M176" t="s">
        <v>15</v>
      </c>
    </row>
    <row r="177" spans="1:13" x14ac:dyDescent="0.3">
      <c r="A177">
        <v>176</v>
      </c>
      <c r="B177" t="s">
        <v>40</v>
      </c>
      <c r="C177" t="s">
        <v>12</v>
      </c>
      <c r="D177">
        <v>111069</v>
      </c>
      <c r="E177" t="s">
        <v>26</v>
      </c>
      <c r="F177" t="s">
        <v>35</v>
      </c>
      <c r="G177" t="s">
        <v>15</v>
      </c>
      <c r="H177">
        <v>0</v>
      </c>
      <c r="I177" t="s">
        <v>16</v>
      </c>
      <c r="J177" t="s">
        <v>17</v>
      </c>
      <c r="K177">
        <v>54</v>
      </c>
      <c r="L177" t="s">
        <v>29</v>
      </c>
      <c r="M177" t="s">
        <v>15</v>
      </c>
    </row>
    <row r="178" spans="1:13" x14ac:dyDescent="0.3">
      <c r="A178">
        <v>177</v>
      </c>
      <c r="B178" t="s">
        <v>40</v>
      </c>
      <c r="C178" t="s">
        <v>19</v>
      </c>
      <c r="D178">
        <v>85179</v>
      </c>
      <c r="E178" t="s">
        <v>26</v>
      </c>
      <c r="F178" t="s">
        <v>14</v>
      </c>
      <c r="G178" t="s">
        <v>15</v>
      </c>
      <c r="H178">
        <v>3</v>
      </c>
      <c r="I178" t="s">
        <v>33</v>
      </c>
      <c r="J178" t="s">
        <v>17</v>
      </c>
      <c r="K178">
        <v>45</v>
      </c>
      <c r="L178" t="s">
        <v>30</v>
      </c>
      <c r="M178" t="s">
        <v>15</v>
      </c>
    </row>
    <row r="179" spans="1:13" x14ac:dyDescent="0.3">
      <c r="A179">
        <v>178</v>
      </c>
      <c r="B179" t="s">
        <v>41</v>
      </c>
      <c r="C179" t="s">
        <v>19</v>
      </c>
      <c r="D179">
        <v>91252</v>
      </c>
      <c r="E179" t="s">
        <v>26</v>
      </c>
      <c r="F179" t="s">
        <v>14</v>
      </c>
      <c r="G179" t="s">
        <v>22</v>
      </c>
      <c r="H179">
        <v>2</v>
      </c>
      <c r="I179" t="s">
        <v>33</v>
      </c>
      <c r="J179" t="s">
        <v>24</v>
      </c>
      <c r="K179">
        <v>36</v>
      </c>
      <c r="L179" t="s">
        <v>18</v>
      </c>
      <c r="M179" t="s">
        <v>22</v>
      </c>
    </row>
    <row r="180" spans="1:13" x14ac:dyDescent="0.3">
      <c r="A180">
        <v>179</v>
      </c>
      <c r="B180" t="s">
        <v>40</v>
      </c>
      <c r="C180" t="s">
        <v>19</v>
      </c>
      <c r="D180">
        <v>113210</v>
      </c>
      <c r="E180" t="s">
        <v>20</v>
      </c>
      <c r="F180" t="s">
        <v>21</v>
      </c>
      <c r="G180" t="s">
        <v>15</v>
      </c>
      <c r="H180">
        <v>1</v>
      </c>
      <c r="I180" t="s">
        <v>37</v>
      </c>
      <c r="J180" t="s">
        <v>17</v>
      </c>
      <c r="K180">
        <v>51</v>
      </c>
      <c r="L180" t="s">
        <v>29</v>
      </c>
      <c r="M180" t="s">
        <v>15</v>
      </c>
    </row>
    <row r="181" spans="1:13" x14ac:dyDescent="0.3">
      <c r="A181">
        <v>180</v>
      </c>
      <c r="B181" t="s">
        <v>40</v>
      </c>
      <c r="C181" t="s">
        <v>12</v>
      </c>
      <c r="D181">
        <v>110221</v>
      </c>
      <c r="E181" t="s">
        <v>31</v>
      </c>
      <c r="F181" t="s">
        <v>14</v>
      </c>
      <c r="G181" t="s">
        <v>22</v>
      </c>
      <c r="H181">
        <v>0</v>
      </c>
      <c r="I181" t="s">
        <v>37</v>
      </c>
      <c r="J181" t="s">
        <v>34</v>
      </c>
      <c r="K181">
        <v>20</v>
      </c>
      <c r="L181" t="s">
        <v>25</v>
      </c>
      <c r="M181" t="s">
        <v>22</v>
      </c>
    </row>
    <row r="182" spans="1:13" x14ac:dyDescent="0.3">
      <c r="A182">
        <v>181</v>
      </c>
      <c r="B182" t="s">
        <v>40</v>
      </c>
      <c r="C182" t="s">
        <v>12</v>
      </c>
      <c r="D182">
        <v>81640</v>
      </c>
      <c r="E182" t="s">
        <v>20</v>
      </c>
      <c r="F182" t="s">
        <v>32</v>
      </c>
      <c r="G182" t="s">
        <v>15</v>
      </c>
      <c r="H182">
        <v>3</v>
      </c>
      <c r="I182" t="s">
        <v>16</v>
      </c>
      <c r="J182" t="s">
        <v>28</v>
      </c>
      <c r="K182">
        <v>34</v>
      </c>
      <c r="L182" t="s">
        <v>18</v>
      </c>
      <c r="M182" t="s">
        <v>15</v>
      </c>
    </row>
    <row r="183" spans="1:13" x14ac:dyDescent="0.3">
      <c r="A183">
        <v>182</v>
      </c>
      <c r="B183" t="s">
        <v>40</v>
      </c>
      <c r="C183" t="s">
        <v>19</v>
      </c>
      <c r="D183">
        <v>99324</v>
      </c>
      <c r="E183" t="s">
        <v>20</v>
      </c>
      <c r="F183" t="s">
        <v>32</v>
      </c>
      <c r="G183" t="s">
        <v>15</v>
      </c>
      <c r="H183">
        <v>0</v>
      </c>
      <c r="I183" t="s">
        <v>33</v>
      </c>
      <c r="J183" t="s">
        <v>24</v>
      </c>
      <c r="K183">
        <v>40</v>
      </c>
      <c r="L183" t="s">
        <v>18</v>
      </c>
      <c r="M183" t="s">
        <v>22</v>
      </c>
    </row>
    <row r="184" spans="1:13" x14ac:dyDescent="0.3">
      <c r="A184">
        <v>183</v>
      </c>
      <c r="B184" t="s">
        <v>40</v>
      </c>
      <c r="C184" t="s">
        <v>12</v>
      </c>
      <c r="D184">
        <v>76587</v>
      </c>
      <c r="E184" t="s">
        <v>20</v>
      </c>
      <c r="F184" t="s">
        <v>21</v>
      </c>
      <c r="G184" t="s">
        <v>15</v>
      </c>
      <c r="H184">
        <v>0</v>
      </c>
      <c r="I184" t="s">
        <v>23</v>
      </c>
      <c r="J184" t="s">
        <v>28</v>
      </c>
      <c r="K184">
        <v>24</v>
      </c>
      <c r="L184" t="s">
        <v>38</v>
      </c>
      <c r="M184" t="s">
        <v>15</v>
      </c>
    </row>
    <row r="185" spans="1:13" x14ac:dyDescent="0.3">
      <c r="A185">
        <v>184</v>
      </c>
      <c r="B185" t="s">
        <v>40</v>
      </c>
      <c r="C185" t="s">
        <v>12</v>
      </c>
      <c r="D185">
        <v>66546</v>
      </c>
      <c r="E185" t="s">
        <v>13</v>
      </c>
      <c r="F185" t="s">
        <v>14</v>
      </c>
      <c r="G185" t="s">
        <v>22</v>
      </c>
      <c r="H185">
        <v>3</v>
      </c>
      <c r="I185" t="s">
        <v>27</v>
      </c>
      <c r="J185" t="s">
        <v>34</v>
      </c>
      <c r="K185">
        <v>27</v>
      </c>
      <c r="L185" t="s">
        <v>38</v>
      </c>
      <c r="M185" t="s">
        <v>15</v>
      </c>
    </row>
    <row r="186" spans="1:13" x14ac:dyDescent="0.3">
      <c r="A186">
        <v>185</v>
      </c>
      <c r="B186" t="s">
        <v>40</v>
      </c>
      <c r="C186" t="s">
        <v>19</v>
      </c>
      <c r="D186">
        <v>43024</v>
      </c>
      <c r="E186" t="s">
        <v>13</v>
      </c>
      <c r="F186" t="s">
        <v>36</v>
      </c>
      <c r="G186" t="s">
        <v>15</v>
      </c>
      <c r="H186">
        <v>3</v>
      </c>
      <c r="I186" t="s">
        <v>27</v>
      </c>
      <c r="J186" t="s">
        <v>34</v>
      </c>
      <c r="K186">
        <v>25</v>
      </c>
      <c r="L186" t="s">
        <v>38</v>
      </c>
      <c r="M186" t="s">
        <v>15</v>
      </c>
    </row>
    <row r="187" spans="1:13" x14ac:dyDescent="0.3">
      <c r="A187">
        <v>186</v>
      </c>
      <c r="B187" t="s">
        <v>40</v>
      </c>
      <c r="C187" t="s">
        <v>19</v>
      </c>
      <c r="D187">
        <v>109918</v>
      </c>
      <c r="E187" t="s">
        <v>31</v>
      </c>
      <c r="F187" t="s">
        <v>32</v>
      </c>
      <c r="G187" t="s">
        <v>15</v>
      </c>
      <c r="H187">
        <v>0</v>
      </c>
      <c r="I187" t="s">
        <v>23</v>
      </c>
      <c r="J187" t="s">
        <v>28</v>
      </c>
      <c r="K187">
        <v>40</v>
      </c>
      <c r="L187" t="s">
        <v>18</v>
      </c>
      <c r="M187" t="s">
        <v>22</v>
      </c>
    </row>
    <row r="188" spans="1:13" x14ac:dyDescent="0.3">
      <c r="A188">
        <v>187</v>
      </c>
      <c r="B188" t="s">
        <v>41</v>
      </c>
      <c r="C188" t="s">
        <v>19</v>
      </c>
      <c r="D188">
        <v>52527</v>
      </c>
      <c r="E188" t="s">
        <v>20</v>
      </c>
      <c r="F188" t="s">
        <v>32</v>
      </c>
      <c r="G188" t="s">
        <v>22</v>
      </c>
      <c r="H188">
        <v>2</v>
      </c>
      <c r="I188" t="s">
        <v>27</v>
      </c>
      <c r="J188" t="s">
        <v>34</v>
      </c>
      <c r="K188">
        <v>56</v>
      </c>
      <c r="L188" t="s">
        <v>29</v>
      </c>
      <c r="M188" t="s">
        <v>15</v>
      </c>
    </row>
    <row r="189" spans="1:13" x14ac:dyDescent="0.3">
      <c r="A189">
        <v>188</v>
      </c>
      <c r="B189" t="s">
        <v>41</v>
      </c>
      <c r="C189" t="s">
        <v>12</v>
      </c>
      <c r="D189">
        <v>36989</v>
      </c>
      <c r="E189" t="s">
        <v>26</v>
      </c>
      <c r="F189" t="s">
        <v>32</v>
      </c>
      <c r="G189" t="s">
        <v>22</v>
      </c>
      <c r="H189">
        <v>3</v>
      </c>
      <c r="I189" t="s">
        <v>23</v>
      </c>
      <c r="J189" t="s">
        <v>28</v>
      </c>
      <c r="K189">
        <v>46</v>
      </c>
      <c r="L189" t="s">
        <v>30</v>
      </c>
      <c r="M189" t="s">
        <v>15</v>
      </c>
    </row>
    <row r="190" spans="1:13" x14ac:dyDescent="0.3">
      <c r="A190">
        <v>189</v>
      </c>
      <c r="B190" t="s">
        <v>41</v>
      </c>
      <c r="C190" t="s">
        <v>12</v>
      </c>
      <c r="D190">
        <v>75201</v>
      </c>
      <c r="E190" t="s">
        <v>26</v>
      </c>
      <c r="F190" t="s">
        <v>14</v>
      </c>
      <c r="G190" t="s">
        <v>22</v>
      </c>
      <c r="H190">
        <v>1</v>
      </c>
      <c r="I190" t="s">
        <v>23</v>
      </c>
      <c r="J190" t="s">
        <v>34</v>
      </c>
      <c r="K190">
        <v>49</v>
      </c>
      <c r="L190" t="s">
        <v>30</v>
      </c>
      <c r="M190" t="s">
        <v>15</v>
      </c>
    </row>
    <row r="191" spans="1:13" x14ac:dyDescent="0.3">
      <c r="A191">
        <v>190</v>
      </c>
      <c r="B191" t="s">
        <v>41</v>
      </c>
      <c r="C191" t="s">
        <v>19</v>
      </c>
      <c r="D191">
        <v>70444</v>
      </c>
      <c r="E191" t="s">
        <v>13</v>
      </c>
      <c r="F191" t="s">
        <v>14</v>
      </c>
      <c r="G191" t="s">
        <v>15</v>
      </c>
      <c r="H191">
        <v>3</v>
      </c>
      <c r="I191" t="s">
        <v>37</v>
      </c>
      <c r="J191" t="s">
        <v>17</v>
      </c>
      <c r="K191">
        <v>38</v>
      </c>
      <c r="L191" t="s">
        <v>18</v>
      </c>
      <c r="M191" t="s">
        <v>15</v>
      </c>
    </row>
    <row r="192" spans="1:13" x14ac:dyDescent="0.3">
      <c r="A192">
        <v>191</v>
      </c>
      <c r="B192" t="s">
        <v>41</v>
      </c>
      <c r="C192" t="s">
        <v>12</v>
      </c>
      <c r="D192">
        <v>65472</v>
      </c>
      <c r="E192" t="s">
        <v>31</v>
      </c>
      <c r="F192" t="s">
        <v>36</v>
      </c>
      <c r="G192" t="s">
        <v>22</v>
      </c>
      <c r="H192">
        <v>2</v>
      </c>
      <c r="I192" t="s">
        <v>27</v>
      </c>
      <c r="J192" t="s">
        <v>17</v>
      </c>
      <c r="K192">
        <v>20</v>
      </c>
      <c r="L192" t="s">
        <v>25</v>
      </c>
      <c r="M192" t="s">
        <v>15</v>
      </c>
    </row>
    <row r="193" spans="1:13" x14ac:dyDescent="0.3">
      <c r="A193">
        <v>192</v>
      </c>
      <c r="B193" t="s">
        <v>41</v>
      </c>
      <c r="C193" t="s">
        <v>19</v>
      </c>
      <c r="D193">
        <v>57925</v>
      </c>
      <c r="E193" t="s">
        <v>26</v>
      </c>
      <c r="F193" t="s">
        <v>32</v>
      </c>
      <c r="G193" t="s">
        <v>15</v>
      </c>
      <c r="H193">
        <v>0</v>
      </c>
      <c r="I193" t="s">
        <v>23</v>
      </c>
      <c r="J193" t="s">
        <v>34</v>
      </c>
      <c r="K193">
        <v>58</v>
      </c>
      <c r="L193" t="s">
        <v>29</v>
      </c>
      <c r="M193" t="s">
        <v>15</v>
      </c>
    </row>
    <row r="194" spans="1:13" x14ac:dyDescent="0.3">
      <c r="A194">
        <v>193</v>
      </c>
      <c r="B194" t="s">
        <v>41</v>
      </c>
      <c r="C194" t="s">
        <v>12</v>
      </c>
      <c r="D194">
        <v>46686</v>
      </c>
      <c r="E194" t="s">
        <v>13</v>
      </c>
      <c r="F194" t="s">
        <v>14</v>
      </c>
      <c r="G194" t="s">
        <v>22</v>
      </c>
      <c r="H194">
        <v>1</v>
      </c>
      <c r="I194" t="s">
        <v>37</v>
      </c>
      <c r="J194" t="s">
        <v>17</v>
      </c>
      <c r="K194">
        <v>34</v>
      </c>
      <c r="L194" t="s">
        <v>18</v>
      </c>
      <c r="M194" t="s">
        <v>15</v>
      </c>
    </row>
    <row r="195" spans="1:13" x14ac:dyDescent="0.3">
      <c r="A195">
        <v>194</v>
      </c>
      <c r="B195" t="s">
        <v>41</v>
      </c>
      <c r="C195" t="s">
        <v>12</v>
      </c>
      <c r="D195">
        <v>51554</v>
      </c>
      <c r="E195" t="s">
        <v>20</v>
      </c>
      <c r="F195" t="s">
        <v>36</v>
      </c>
      <c r="G195" t="s">
        <v>15</v>
      </c>
      <c r="H195">
        <v>1</v>
      </c>
      <c r="I195" t="s">
        <v>33</v>
      </c>
      <c r="J195" t="s">
        <v>24</v>
      </c>
      <c r="K195">
        <v>26</v>
      </c>
      <c r="L195" t="s">
        <v>38</v>
      </c>
      <c r="M195" t="s">
        <v>15</v>
      </c>
    </row>
    <row r="196" spans="1:13" x14ac:dyDescent="0.3">
      <c r="A196">
        <v>195</v>
      </c>
      <c r="B196" t="s">
        <v>41</v>
      </c>
      <c r="C196" t="s">
        <v>12</v>
      </c>
      <c r="D196">
        <v>62685</v>
      </c>
      <c r="E196" t="s">
        <v>31</v>
      </c>
      <c r="F196" t="s">
        <v>32</v>
      </c>
      <c r="G196" t="s">
        <v>15</v>
      </c>
      <c r="H196">
        <v>0</v>
      </c>
      <c r="I196" t="s">
        <v>16</v>
      </c>
      <c r="J196" t="s">
        <v>34</v>
      </c>
      <c r="K196">
        <v>46</v>
      </c>
      <c r="L196" t="s">
        <v>30</v>
      </c>
      <c r="M196" t="s">
        <v>15</v>
      </c>
    </row>
    <row r="197" spans="1:13" x14ac:dyDescent="0.3">
      <c r="A197">
        <v>196</v>
      </c>
      <c r="B197" t="s">
        <v>41</v>
      </c>
      <c r="C197" t="s">
        <v>19</v>
      </c>
      <c r="D197">
        <v>20437</v>
      </c>
      <c r="E197" t="s">
        <v>26</v>
      </c>
      <c r="F197" t="s">
        <v>14</v>
      </c>
      <c r="G197" t="s">
        <v>15</v>
      </c>
      <c r="H197">
        <v>1</v>
      </c>
      <c r="I197" t="s">
        <v>33</v>
      </c>
      <c r="J197" t="s">
        <v>17</v>
      </c>
      <c r="K197">
        <v>35</v>
      </c>
      <c r="L197" t="s">
        <v>18</v>
      </c>
      <c r="M197" t="s">
        <v>15</v>
      </c>
    </row>
    <row r="198" spans="1:13" x14ac:dyDescent="0.3">
      <c r="A198">
        <v>197</v>
      </c>
      <c r="B198" t="s">
        <v>40</v>
      </c>
      <c r="C198" t="s">
        <v>19</v>
      </c>
      <c r="D198">
        <v>101014</v>
      </c>
      <c r="E198" t="s">
        <v>26</v>
      </c>
      <c r="F198" t="s">
        <v>21</v>
      </c>
      <c r="G198" t="s">
        <v>15</v>
      </c>
      <c r="H198">
        <v>2</v>
      </c>
      <c r="I198" t="s">
        <v>23</v>
      </c>
      <c r="J198" t="s">
        <v>24</v>
      </c>
      <c r="K198">
        <v>49</v>
      </c>
      <c r="L198" t="s">
        <v>30</v>
      </c>
      <c r="M198" t="s">
        <v>15</v>
      </c>
    </row>
    <row r="199" spans="1:13" x14ac:dyDescent="0.3">
      <c r="A199">
        <v>198</v>
      </c>
      <c r="B199" t="s">
        <v>40</v>
      </c>
      <c r="C199" t="s">
        <v>12</v>
      </c>
      <c r="D199">
        <v>58754</v>
      </c>
      <c r="E199" t="s">
        <v>26</v>
      </c>
      <c r="F199" t="s">
        <v>14</v>
      </c>
      <c r="G199" t="s">
        <v>22</v>
      </c>
      <c r="H199">
        <v>3</v>
      </c>
      <c r="I199" t="s">
        <v>33</v>
      </c>
      <c r="J199" t="s">
        <v>28</v>
      </c>
      <c r="K199">
        <v>58</v>
      </c>
      <c r="L199" t="s">
        <v>29</v>
      </c>
      <c r="M199" t="s">
        <v>15</v>
      </c>
    </row>
    <row r="200" spans="1:13" x14ac:dyDescent="0.3">
      <c r="A200">
        <v>199</v>
      </c>
      <c r="B200" t="s">
        <v>40</v>
      </c>
      <c r="C200" t="s">
        <v>12</v>
      </c>
      <c r="D200">
        <v>61082</v>
      </c>
      <c r="E200" t="s">
        <v>26</v>
      </c>
      <c r="F200" t="s">
        <v>36</v>
      </c>
      <c r="G200" t="s">
        <v>15</v>
      </c>
      <c r="H200">
        <v>3</v>
      </c>
      <c r="I200" t="s">
        <v>16</v>
      </c>
      <c r="J200" t="s">
        <v>24</v>
      </c>
      <c r="K200">
        <v>43</v>
      </c>
      <c r="L200" t="s">
        <v>30</v>
      </c>
      <c r="M200" t="s">
        <v>15</v>
      </c>
    </row>
    <row r="201" spans="1:13" x14ac:dyDescent="0.3">
      <c r="A201">
        <v>200</v>
      </c>
      <c r="B201" t="s">
        <v>40</v>
      </c>
      <c r="C201" t="s">
        <v>19</v>
      </c>
      <c r="D201">
        <v>34869</v>
      </c>
      <c r="E201" t="s">
        <v>31</v>
      </c>
      <c r="F201" t="s">
        <v>32</v>
      </c>
      <c r="G201" t="s">
        <v>15</v>
      </c>
      <c r="H201">
        <v>2</v>
      </c>
      <c r="I201" t="s">
        <v>23</v>
      </c>
      <c r="J201" t="s">
        <v>17</v>
      </c>
      <c r="K201">
        <v>46</v>
      </c>
      <c r="L201" t="s">
        <v>30</v>
      </c>
      <c r="M201" t="s">
        <v>15</v>
      </c>
    </row>
    <row r="202" spans="1:13" x14ac:dyDescent="0.3">
      <c r="A202">
        <v>201</v>
      </c>
      <c r="B202" t="s">
        <v>40</v>
      </c>
      <c r="C202" t="s">
        <v>12</v>
      </c>
      <c r="D202">
        <v>48083</v>
      </c>
      <c r="E202" t="s">
        <v>13</v>
      </c>
      <c r="F202" t="s">
        <v>36</v>
      </c>
      <c r="G202" t="s">
        <v>22</v>
      </c>
      <c r="H202">
        <v>3</v>
      </c>
      <c r="I202" t="s">
        <v>27</v>
      </c>
      <c r="J202" t="s">
        <v>24</v>
      </c>
      <c r="K202">
        <v>49</v>
      </c>
      <c r="L202" t="s">
        <v>30</v>
      </c>
      <c r="M202" t="s">
        <v>15</v>
      </c>
    </row>
    <row r="203" spans="1:13" x14ac:dyDescent="0.3">
      <c r="A203">
        <v>202</v>
      </c>
      <c r="B203" t="s">
        <v>40</v>
      </c>
      <c r="C203" t="s">
        <v>19</v>
      </c>
      <c r="D203">
        <v>70483</v>
      </c>
      <c r="E203" t="s">
        <v>20</v>
      </c>
      <c r="F203" t="s">
        <v>35</v>
      </c>
      <c r="G203" t="s">
        <v>22</v>
      </c>
      <c r="H203">
        <v>1</v>
      </c>
      <c r="I203" t="s">
        <v>33</v>
      </c>
      <c r="J203" t="s">
        <v>28</v>
      </c>
      <c r="K203">
        <v>45</v>
      </c>
      <c r="L203" t="s">
        <v>30</v>
      </c>
      <c r="M203" t="s">
        <v>15</v>
      </c>
    </row>
    <row r="204" spans="1:13" x14ac:dyDescent="0.3">
      <c r="A204">
        <v>203</v>
      </c>
      <c r="B204" t="s">
        <v>40</v>
      </c>
      <c r="C204" t="s">
        <v>12</v>
      </c>
      <c r="D204">
        <v>70220</v>
      </c>
      <c r="E204" t="s">
        <v>13</v>
      </c>
      <c r="F204" t="s">
        <v>35</v>
      </c>
      <c r="G204" t="s">
        <v>15</v>
      </c>
      <c r="H204">
        <v>3</v>
      </c>
      <c r="I204" t="s">
        <v>23</v>
      </c>
      <c r="J204" t="s">
        <v>34</v>
      </c>
      <c r="K204">
        <v>30</v>
      </c>
      <c r="L204" t="s">
        <v>38</v>
      </c>
      <c r="M204" t="s">
        <v>15</v>
      </c>
    </row>
    <row r="205" spans="1:13" x14ac:dyDescent="0.3">
      <c r="A205">
        <v>204</v>
      </c>
      <c r="B205" t="s">
        <v>40</v>
      </c>
      <c r="C205" t="s">
        <v>12</v>
      </c>
      <c r="D205">
        <v>119769</v>
      </c>
      <c r="E205" t="s">
        <v>26</v>
      </c>
      <c r="F205" t="s">
        <v>21</v>
      </c>
      <c r="G205" t="s">
        <v>15</v>
      </c>
      <c r="H205">
        <v>1</v>
      </c>
      <c r="I205" t="s">
        <v>16</v>
      </c>
      <c r="J205" t="s">
        <v>24</v>
      </c>
      <c r="K205">
        <v>48</v>
      </c>
      <c r="L205" t="s">
        <v>30</v>
      </c>
      <c r="M205" t="s">
        <v>15</v>
      </c>
    </row>
    <row r="206" spans="1:13" x14ac:dyDescent="0.3">
      <c r="A206">
        <v>205</v>
      </c>
      <c r="B206" t="s">
        <v>40</v>
      </c>
      <c r="C206" t="s">
        <v>19</v>
      </c>
      <c r="D206">
        <v>103452</v>
      </c>
      <c r="E206" t="s">
        <v>20</v>
      </c>
      <c r="F206" t="s">
        <v>14</v>
      </c>
      <c r="G206" t="s">
        <v>15</v>
      </c>
      <c r="H206">
        <v>1</v>
      </c>
      <c r="I206" t="s">
        <v>37</v>
      </c>
      <c r="J206" t="s">
        <v>17</v>
      </c>
      <c r="K206">
        <v>41</v>
      </c>
      <c r="L206" t="s">
        <v>30</v>
      </c>
      <c r="M206" t="s">
        <v>22</v>
      </c>
    </row>
    <row r="207" spans="1:13" x14ac:dyDescent="0.3">
      <c r="A207">
        <v>206</v>
      </c>
      <c r="B207" t="s">
        <v>40</v>
      </c>
      <c r="C207" t="s">
        <v>12</v>
      </c>
      <c r="D207">
        <v>22692</v>
      </c>
      <c r="E207" t="s">
        <v>20</v>
      </c>
      <c r="F207" t="s">
        <v>14</v>
      </c>
      <c r="G207" t="s">
        <v>15</v>
      </c>
      <c r="H207">
        <v>0</v>
      </c>
      <c r="I207" t="s">
        <v>16</v>
      </c>
      <c r="J207" t="s">
        <v>34</v>
      </c>
      <c r="K207">
        <v>38</v>
      </c>
      <c r="L207" t="s">
        <v>18</v>
      </c>
      <c r="M207" t="s">
        <v>15</v>
      </c>
    </row>
    <row r="208" spans="1:13" x14ac:dyDescent="0.3">
      <c r="A208">
        <v>207</v>
      </c>
      <c r="B208" t="s">
        <v>40</v>
      </c>
      <c r="C208" t="s">
        <v>19</v>
      </c>
      <c r="D208">
        <v>45598</v>
      </c>
      <c r="E208" t="s">
        <v>31</v>
      </c>
      <c r="F208" t="s">
        <v>32</v>
      </c>
      <c r="G208" t="s">
        <v>15</v>
      </c>
      <c r="H208">
        <v>3</v>
      </c>
      <c r="I208" t="s">
        <v>33</v>
      </c>
      <c r="J208" t="s">
        <v>28</v>
      </c>
      <c r="K208">
        <v>29</v>
      </c>
      <c r="L208" t="s">
        <v>38</v>
      </c>
      <c r="M208" t="s">
        <v>15</v>
      </c>
    </row>
    <row r="209" spans="1:13" x14ac:dyDescent="0.3">
      <c r="A209">
        <v>208</v>
      </c>
      <c r="B209" t="s">
        <v>40</v>
      </c>
      <c r="C209" t="s">
        <v>19</v>
      </c>
      <c r="D209">
        <v>52257</v>
      </c>
      <c r="E209" t="s">
        <v>13</v>
      </c>
      <c r="F209" t="s">
        <v>36</v>
      </c>
      <c r="G209" t="s">
        <v>15</v>
      </c>
      <c r="H209">
        <v>0</v>
      </c>
      <c r="I209" t="s">
        <v>23</v>
      </c>
      <c r="J209" t="s">
        <v>17</v>
      </c>
      <c r="K209">
        <v>40</v>
      </c>
      <c r="L209" t="s">
        <v>18</v>
      </c>
      <c r="M209" t="s">
        <v>15</v>
      </c>
    </row>
    <row r="210" spans="1:13" x14ac:dyDescent="0.3">
      <c r="A210">
        <v>209</v>
      </c>
      <c r="B210" t="s">
        <v>40</v>
      </c>
      <c r="C210" t="s">
        <v>19</v>
      </c>
      <c r="D210">
        <v>29122</v>
      </c>
      <c r="E210" t="s">
        <v>13</v>
      </c>
      <c r="F210" t="s">
        <v>35</v>
      </c>
      <c r="G210" t="s">
        <v>15</v>
      </c>
      <c r="H210">
        <v>0</v>
      </c>
      <c r="I210" t="s">
        <v>37</v>
      </c>
      <c r="J210" t="s">
        <v>28</v>
      </c>
      <c r="K210">
        <v>49</v>
      </c>
      <c r="L210" t="s">
        <v>30</v>
      </c>
      <c r="M210" t="s">
        <v>15</v>
      </c>
    </row>
    <row r="211" spans="1:13" x14ac:dyDescent="0.3">
      <c r="A211">
        <v>210</v>
      </c>
      <c r="B211" t="s">
        <v>40</v>
      </c>
      <c r="C211" t="s">
        <v>19</v>
      </c>
      <c r="D211">
        <v>102823</v>
      </c>
      <c r="E211" t="s">
        <v>31</v>
      </c>
      <c r="F211" t="s">
        <v>21</v>
      </c>
      <c r="G211" t="s">
        <v>22</v>
      </c>
      <c r="H211">
        <v>0</v>
      </c>
      <c r="I211" t="s">
        <v>23</v>
      </c>
      <c r="J211" t="s">
        <v>24</v>
      </c>
      <c r="K211">
        <v>56</v>
      </c>
      <c r="L211" t="s">
        <v>29</v>
      </c>
      <c r="M211" t="s">
        <v>15</v>
      </c>
    </row>
    <row r="212" spans="1:13" x14ac:dyDescent="0.3">
      <c r="A212">
        <v>211</v>
      </c>
      <c r="B212" t="s">
        <v>40</v>
      </c>
      <c r="C212" t="s">
        <v>19</v>
      </c>
      <c r="D212">
        <v>115982</v>
      </c>
      <c r="E212" t="s">
        <v>13</v>
      </c>
      <c r="F212" t="s">
        <v>36</v>
      </c>
      <c r="G212" t="s">
        <v>22</v>
      </c>
      <c r="H212">
        <v>2</v>
      </c>
      <c r="I212" t="s">
        <v>27</v>
      </c>
      <c r="J212" t="s">
        <v>17</v>
      </c>
      <c r="K212">
        <v>41</v>
      </c>
      <c r="L212" t="s">
        <v>30</v>
      </c>
      <c r="M212" t="s">
        <v>15</v>
      </c>
    </row>
    <row r="213" spans="1:13" x14ac:dyDescent="0.3">
      <c r="A213">
        <v>212</v>
      </c>
      <c r="B213" t="s">
        <v>40</v>
      </c>
      <c r="C213" t="s">
        <v>19</v>
      </c>
      <c r="D213">
        <v>25067</v>
      </c>
      <c r="E213" t="s">
        <v>20</v>
      </c>
      <c r="F213" t="s">
        <v>36</v>
      </c>
      <c r="G213" t="s">
        <v>15</v>
      </c>
      <c r="H213">
        <v>3</v>
      </c>
      <c r="I213" t="s">
        <v>16</v>
      </c>
      <c r="J213" t="s">
        <v>34</v>
      </c>
      <c r="K213">
        <v>52</v>
      </c>
      <c r="L213" t="s">
        <v>29</v>
      </c>
      <c r="M213" t="s">
        <v>15</v>
      </c>
    </row>
    <row r="214" spans="1:13" x14ac:dyDescent="0.3">
      <c r="A214">
        <v>213</v>
      </c>
      <c r="B214" t="s">
        <v>41</v>
      </c>
      <c r="C214" t="s">
        <v>12</v>
      </c>
      <c r="D214">
        <v>21549</v>
      </c>
      <c r="E214" t="s">
        <v>26</v>
      </c>
      <c r="F214" t="s">
        <v>21</v>
      </c>
      <c r="G214" t="s">
        <v>15</v>
      </c>
      <c r="H214">
        <v>2</v>
      </c>
      <c r="I214" t="s">
        <v>23</v>
      </c>
      <c r="J214" t="s">
        <v>24</v>
      </c>
      <c r="K214">
        <v>60</v>
      </c>
      <c r="L214" t="s">
        <v>29</v>
      </c>
      <c r="M214" t="s">
        <v>15</v>
      </c>
    </row>
    <row r="215" spans="1:13" x14ac:dyDescent="0.3">
      <c r="A215">
        <v>214</v>
      </c>
      <c r="B215" t="s">
        <v>41</v>
      </c>
      <c r="C215" t="s">
        <v>19</v>
      </c>
      <c r="D215">
        <v>77394</v>
      </c>
      <c r="E215" t="s">
        <v>26</v>
      </c>
      <c r="F215" t="s">
        <v>35</v>
      </c>
      <c r="G215" t="s">
        <v>15</v>
      </c>
      <c r="H215">
        <v>1</v>
      </c>
      <c r="I215" t="s">
        <v>33</v>
      </c>
      <c r="J215" t="s">
        <v>34</v>
      </c>
      <c r="K215">
        <v>27</v>
      </c>
      <c r="L215" t="s">
        <v>38</v>
      </c>
      <c r="M215" t="s">
        <v>15</v>
      </c>
    </row>
    <row r="216" spans="1:13" x14ac:dyDescent="0.3">
      <c r="A216">
        <v>215</v>
      </c>
      <c r="B216" t="s">
        <v>41</v>
      </c>
      <c r="C216" t="s">
        <v>19</v>
      </c>
      <c r="D216">
        <v>111613</v>
      </c>
      <c r="E216" t="s">
        <v>20</v>
      </c>
      <c r="F216" t="s">
        <v>21</v>
      </c>
      <c r="G216" t="s">
        <v>15</v>
      </c>
      <c r="H216">
        <v>3</v>
      </c>
      <c r="I216" t="s">
        <v>16</v>
      </c>
      <c r="J216" t="s">
        <v>34</v>
      </c>
      <c r="K216">
        <v>49</v>
      </c>
      <c r="L216" t="s">
        <v>30</v>
      </c>
      <c r="M216" t="s">
        <v>15</v>
      </c>
    </row>
    <row r="217" spans="1:13" x14ac:dyDescent="0.3">
      <c r="A217">
        <v>216</v>
      </c>
      <c r="B217" t="s">
        <v>41</v>
      </c>
      <c r="C217" t="s">
        <v>19</v>
      </c>
      <c r="D217">
        <v>43386</v>
      </c>
      <c r="E217" t="s">
        <v>20</v>
      </c>
      <c r="F217" t="s">
        <v>35</v>
      </c>
      <c r="G217" t="s">
        <v>22</v>
      </c>
      <c r="H217">
        <v>3</v>
      </c>
      <c r="I217" t="s">
        <v>37</v>
      </c>
      <c r="J217" t="s">
        <v>28</v>
      </c>
      <c r="K217">
        <v>20</v>
      </c>
      <c r="L217" t="s">
        <v>25</v>
      </c>
      <c r="M217" t="s">
        <v>15</v>
      </c>
    </row>
    <row r="218" spans="1:13" x14ac:dyDescent="0.3">
      <c r="A218">
        <v>217</v>
      </c>
      <c r="B218" t="s">
        <v>41</v>
      </c>
      <c r="C218" t="s">
        <v>12</v>
      </c>
      <c r="D218">
        <v>95989</v>
      </c>
      <c r="E218" t="s">
        <v>13</v>
      </c>
      <c r="F218" t="s">
        <v>21</v>
      </c>
      <c r="G218" t="s">
        <v>22</v>
      </c>
      <c r="H218">
        <v>1</v>
      </c>
      <c r="I218" t="s">
        <v>27</v>
      </c>
      <c r="J218" t="s">
        <v>34</v>
      </c>
      <c r="K218">
        <v>19</v>
      </c>
      <c r="L218" t="s">
        <v>25</v>
      </c>
      <c r="M218" t="s">
        <v>15</v>
      </c>
    </row>
    <row r="219" spans="1:13" x14ac:dyDescent="0.3">
      <c r="A219">
        <v>218</v>
      </c>
      <c r="B219" t="s">
        <v>41</v>
      </c>
      <c r="C219" t="s">
        <v>19</v>
      </c>
      <c r="D219">
        <v>29788</v>
      </c>
      <c r="E219" t="s">
        <v>31</v>
      </c>
      <c r="F219" t="s">
        <v>21</v>
      </c>
      <c r="G219" t="s">
        <v>22</v>
      </c>
      <c r="H219">
        <v>1</v>
      </c>
      <c r="I219" t="s">
        <v>16</v>
      </c>
      <c r="J219" t="s">
        <v>24</v>
      </c>
      <c r="K219">
        <v>28</v>
      </c>
      <c r="L219" t="s">
        <v>38</v>
      </c>
      <c r="M219" t="s">
        <v>15</v>
      </c>
    </row>
    <row r="220" spans="1:13" x14ac:dyDescent="0.3">
      <c r="A220">
        <v>219</v>
      </c>
      <c r="B220" t="s">
        <v>41</v>
      </c>
      <c r="C220" t="s">
        <v>19</v>
      </c>
      <c r="D220">
        <v>88695</v>
      </c>
      <c r="E220" t="s">
        <v>20</v>
      </c>
      <c r="F220" t="s">
        <v>32</v>
      </c>
      <c r="G220" t="s">
        <v>22</v>
      </c>
      <c r="H220">
        <v>2</v>
      </c>
      <c r="I220" t="s">
        <v>23</v>
      </c>
      <c r="J220" t="s">
        <v>34</v>
      </c>
      <c r="K220">
        <v>22</v>
      </c>
      <c r="L220" t="s">
        <v>38</v>
      </c>
      <c r="M220" t="s">
        <v>15</v>
      </c>
    </row>
    <row r="221" spans="1:13" x14ac:dyDescent="0.3">
      <c r="A221">
        <v>220</v>
      </c>
      <c r="B221" t="s">
        <v>41</v>
      </c>
      <c r="C221" t="s">
        <v>12</v>
      </c>
      <c r="D221">
        <v>117365</v>
      </c>
      <c r="E221" t="s">
        <v>13</v>
      </c>
      <c r="F221" t="s">
        <v>14</v>
      </c>
      <c r="G221" t="s">
        <v>15</v>
      </c>
      <c r="H221">
        <v>3</v>
      </c>
      <c r="I221" t="s">
        <v>27</v>
      </c>
      <c r="J221" t="s">
        <v>17</v>
      </c>
      <c r="K221">
        <v>28</v>
      </c>
      <c r="L221" t="s">
        <v>38</v>
      </c>
      <c r="M221" t="s">
        <v>15</v>
      </c>
    </row>
    <row r="222" spans="1:13" x14ac:dyDescent="0.3">
      <c r="A222">
        <v>221</v>
      </c>
      <c r="B222" t="s">
        <v>41</v>
      </c>
      <c r="C222" t="s">
        <v>12</v>
      </c>
      <c r="D222">
        <v>83912</v>
      </c>
      <c r="E222" t="s">
        <v>26</v>
      </c>
      <c r="F222" t="s">
        <v>21</v>
      </c>
      <c r="G222" t="s">
        <v>15</v>
      </c>
      <c r="H222">
        <v>2</v>
      </c>
      <c r="I222" t="s">
        <v>23</v>
      </c>
      <c r="J222" t="s">
        <v>34</v>
      </c>
      <c r="K222">
        <v>34</v>
      </c>
      <c r="L222" t="s">
        <v>18</v>
      </c>
      <c r="M222" t="s">
        <v>22</v>
      </c>
    </row>
    <row r="223" spans="1:13" x14ac:dyDescent="0.3">
      <c r="A223">
        <v>222</v>
      </c>
      <c r="B223" t="s">
        <v>41</v>
      </c>
      <c r="C223" t="s">
        <v>19</v>
      </c>
      <c r="D223">
        <v>79756</v>
      </c>
      <c r="E223" t="s">
        <v>31</v>
      </c>
      <c r="F223" t="s">
        <v>32</v>
      </c>
      <c r="G223" t="s">
        <v>15</v>
      </c>
      <c r="H223">
        <v>0</v>
      </c>
      <c r="I223" t="s">
        <v>27</v>
      </c>
      <c r="J223" t="s">
        <v>34</v>
      </c>
      <c r="K223">
        <v>60</v>
      </c>
      <c r="L223" t="s">
        <v>29</v>
      </c>
      <c r="M223" t="s">
        <v>15</v>
      </c>
    </row>
    <row r="224" spans="1:13" x14ac:dyDescent="0.3">
      <c r="A224">
        <v>223</v>
      </c>
      <c r="B224" t="s">
        <v>41</v>
      </c>
      <c r="C224" t="s">
        <v>19</v>
      </c>
      <c r="D224">
        <v>117257</v>
      </c>
      <c r="E224" t="s">
        <v>13</v>
      </c>
      <c r="F224" t="s">
        <v>35</v>
      </c>
      <c r="G224" t="s">
        <v>22</v>
      </c>
      <c r="H224">
        <v>3</v>
      </c>
      <c r="I224" t="s">
        <v>27</v>
      </c>
      <c r="J224" t="s">
        <v>34</v>
      </c>
      <c r="K224">
        <v>35</v>
      </c>
      <c r="L224" t="s">
        <v>18</v>
      </c>
      <c r="M224" t="s">
        <v>15</v>
      </c>
    </row>
    <row r="225" spans="1:13" x14ac:dyDescent="0.3">
      <c r="A225">
        <v>224</v>
      </c>
      <c r="B225" t="s">
        <v>41</v>
      </c>
      <c r="C225" t="s">
        <v>19</v>
      </c>
      <c r="D225">
        <v>109079</v>
      </c>
      <c r="E225" t="s">
        <v>13</v>
      </c>
      <c r="F225" t="s">
        <v>21</v>
      </c>
      <c r="G225" t="s">
        <v>15</v>
      </c>
      <c r="H225">
        <v>1</v>
      </c>
      <c r="I225" t="s">
        <v>23</v>
      </c>
      <c r="J225" t="s">
        <v>17</v>
      </c>
      <c r="K225">
        <v>39</v>
      </c>
      <c r="L225" t="s">
        <v>18</v>
      </c>
      <c r="M225" t="s">
        <v>22</v>
      </c>
    </row>
    <row r="226" spans="1:13" x14ac:dyDescent="0.3">
      <c r="A226">
        <v>225</v>
      </c>
      <c r="B226" t="s">
        <v>41</v>
      </c>
      <c r="C226" t="s">
        <v>12</v>
      </c>
      <c r="D226">
        <v>100412</v>
      </c>
      <c r="E226" t="s">
        <v>31</v>
      </c>
      <c r="F226" t="s">
        <v>21</v>
      </c>
      <c r="G226" t="s">
        <v>15</v>
      </c>
      <c r="H226">
        <v>1</v>
      </c>
      <c r="I226" t="s">
        <v>33</v>
      </c>
      <c r="J226" t="s">
        <v>28</v>
      </c>
      <c r="K226">
        <v>44</v>
      </c>
      <c r="L226" t="s">
        <v>30</v>
      </c>
      <c r="M226" t="s">
        <v>15</v>
      </c>
    </row>
    <row r="227" spans="1:13" x14ac:dyDescent="0.3">
      <c r="A227">
        <v>226</v>
      </c>
      <c r="B227" t="s">
        <v>41</v>
      </c>
      <c r="C227" t="s">
        <v>12</v>
      </c>
      <c r="D227">
        <v>60901</v>
      </c>
      <c r="E227" t="s">
        <v>31</v>
      </c>
      <c r="F227" t="s">
        <v>14</v>
      </c>
      <c r="G227" t="s">
        <v>15</v>
      </c>
      <c r="H227">
        <v>2</v>
      </c>
      <c r="I227" t="s">
        <v>27</v>
      </c>
      <c r="J227" t="s">
        <v>34</v>
      </c>
      <c r="K227">
        <v>19</v>
      </c>
      <c r="L227" t="s">
        <v>25</v>
      </c>
      <c r="M227" t="s">
        <v>22</v>
      </c>
    </row>
    <row r="228" spans="1:13" x14ac:dyDescent="0.3">
      <c r="A228">
        <v>227</v>
      </c>
      <c r="B228" t="s">
        <v>41</v>
      </c>
      <c r="C228" t="s">
        <v>19</v>
      </c>
      <c r="D228">
        <v>42427</v>
      </c>
      <c r="E228" t="s">
        <v>26</v>
      </c>
      <c r="F228" t="s">
        <v>32</v>
      </c>
      <c r="G228" t="s">
        <v>22</v>
      </c>
      <c r="H228">
        <v>2</v>
      </c>
      <c r="I228" t="s">
        <v>33</v>
      </c>
      <c r="J228" t="s">
        <v>24</v>
      </c>
      <c r="K228">
        <v>29</v>
      </c>
      <c r="L228" t="s">
        <v>38</v>
      </c>
      <c r="M228" t="s">
        <v>15</v>
      </c>
    </row>
    <row r="229" spans="1:13" x14ac:dyDescent="0.3">
      <c r="A229">
        <v>228</v>
      </c>
      <c r="B229" t="s">
        <v>41</v>
      </c>
      <c r="C229" t="s">
        <v>12</v>
      </c>
      <c r="D229">
        <v>25203</v>
      </c>
      <c r="E229" t="s">
        <v>31</v>
      </c>
      <c r="F229" t="s">
        <v>14</v>
      </c>
      <c r="G229" t="s">
        <v>22</v>
      </c>
      <c r="H229">
        <v>0</v>
      </c>
      <c r="I229" t="s">
        <v>16</v>
      </c>
      <c r="J229" t="s">
        <v>28</v>
      </c>
      <c r="K229">
        <v>60</v>
      </c>
      <c r="L229" t="s">
        <v>29</v>
      </c>
      <c r="M229" t="s">
        <v>15</v>
      </c>
    </row>
    <row r="230" spans="1:13" x14ac:dyDescent="0.3">
      <c r="A230">
        <v>229</v>
      </c>
      <c r="B230" t="s">
        <v>41</v>
      </c>
      <c r="C230" t="s">
        <v>19</v>
      </c>
      <c r="D230">
        <v>28610</v>
      </c>
      <c r="E230" t="s">
        <v>26</v>
      </c>
      <c r="F230" t="s">
        <v>32</v>
      </c>
      <c r="G230" t="s">
        <v>22</v>
      </c>
      <c r="H230">
        <v>2</v>
      </c>
      <c r="I230" t="s">
        <v>37</v>
      </c>
      <c r="J230" t="s">
        <v>17</v>
      </c>
      <c r="K230">
        <v>21</v>
      </c>
      <c r="L230" t="s">
        <v>38</v>
      </c>
      <c r="M230" t="s">
        <v>15</v>
      </c>
    </row>
    <row r="231" spans="1:13" x14ac:dyDescent="0.3">
      <c r="A231">
        <v>230</v>
      </c>
      <c r="B231" t="s">
        <v>41</v>
      </c>
      <c r="C231" t="s">
        <v>19</v>
      </c>
      <c r="D231">
        <v>33936</v>
      </c>
      <c r="E231" t="s">
        <v>31</v>
      </c>
      <c r="F231" t="s">
        <v>14</v>
      </c>
      <c r="G231" t="s">
        <v>22</v>
      </c>
      <c r="H231">
        <v>2</v>
      </c>
      <c r="I231" t="s">
        <v>23</v>
      </c>
      <c r="J231" t="s">
        <v>28</v>
      </c>
      <c r="K231">
        <v>36</v>
      </c>
      <c r="L231" t="s">
        <v>18</v>
      </c>
      <c r="M231" t="s">
        <v>15</v>
      </c>
    </row>
    <row r="232" spans="1:13" x14ac:dyDescent="0.3">
      <c r="A232">
        <v>231</v>
      </c>
      <c r="B232" t="s">
        <v>41</v>
      </c>
      <c r="C232" t="s">
        <v>12</v>
      </c>
      <c r="D232">
        <v>67740</v>
      </c>
      <c r="E232" t="s">
        <v>31</v>
      </c>
      <c r="F232" t="s">
        <v>36</v>
      </c>
      <c r="G232" t="s">
        <v>15</v>
      </c>
      <c r="H232">
        <v>0</v>
      </c>
      <c r="I232" t="s">
        <v>37</v>
      </c>
      <c r="J232" t="s">
        <v>24</v>
      </c>
      <c r="K232">
        <v>56</v>
      </c>
      <c r="L232" t="s">
        <v>29</v>
      </c>
      <c r="M232" t="s">
        <v>15</v>
      </c>
    </row>
    <row r="233" spans="1:13" x14ac:dyDescent="0.3">
      <c r="A233">
        <v>232</v>
      </c>
      <c r="B233" t="s">
        <v>41</v>
      </c>
      <c r="C233" t="s">
        <v>19</v>
      </c>
      <c r="D233">
        <v>95694</v>
      </c>
      <c r="E233" t="s">
        <v>31</v>
      </c>
      <c r="F233" t="s">
        <v>36</v>
      </c>
      <c r="G233" t="s">
        <v>22</v>
      </c>
      <c r="H233">
        <v>0</v>
      </c>
      <c r="I233" t="s">
        <v>23</v>
      </c>
      <c r="J233" t="s">
        <v>17</v>
      </c>
      <c r="K233">
        <v>56</v>
      </c>
      <c r="L233" t="s">
        <v>29</v>
      </c>
      <c r="M233" t="s">
        <v>15</v>
      </c>
    </row>
    <row r="234" spans="1:13" x14ac:dyDescent="0.3">
      <c r="A234">
        <v>233</v>
      </c>
      <c r="B234" t="s">
        <v>41</v>
      </c>
      <c r="C234" t="s">
        <v>12</v>
      </c>
      <c r="D234">
        <v>111341</v>
      </c>
      <c r="E234" t="s">
        <v>31</v>
      </c>
      <c r="F234" t="s">
        <v>21</v>
      </c>
      <c r="G234" t="s">
        <v>15</v>
      </c>
      <c r="H234">
        <v>3</v>
      </c>
      <c r="I234" t="s">
        <v>16</v>
      </c>
      <c r="J234" t="s">
        <v>17</v>
      </c>
      <c r="K234">
        <v>45</v>
      </c>
      <c r="L234" t="s">
        <v>30</v>
      </c>
      <c r="M234" t="s">
        <v>15</v>
      </c>
    </row>
    <row r="235" spans="1:13" x14ac:dyDescent="0.3">
      <c r="A235">
        <v>234</v>
      </c>
      <c r="B235" t="s">
        <v>41</v>
      </c>
      <c r="C235" t="s">
        <v>19</v>
      </c>
      <c r="D235">
        <v>84850</v>
      </c>
      <c r="E235" t="s">
        <v>26</v>
      </c>
      <c r="F235" t="s">
        <v>32</v>
      </c>
      <c r="G235" t="s">
        <v>22</v>
      </c>
      <c r="H235">
        <v>0</v>
      </c>
      <c r="I235" t="s">
        <v>23</v>
      </c>
      <c r="J235" t="s">
        <v>34</v>
      </c>
      <c r="K235">
        <v>50</v>
      </c>
      <c r="L235" t="s">
        <v>30</v>
      </c>
      <c r="M235" t="s">
        <v>15</v>
      </c>
    </row>
    <row r="236" spans="1:13" x14ac:dyDescent="0.3">
      <c r="A236">
        <v>235</v>
      </c>
      <c r="B236" t="s">
        <v>41</v>
      </c>
      <c r="C236" t="s">
        <v>12</v>
      </c>
      <c r="D236">
        <v>73284</v>
      </c>
      <c r="E236" t="s">
        <v>20</v>
      </c>
      <c r="F236" t="s">
        <v>35</v>
      </c>
      <c r="G236" t="s">
        <v>15</v>
      </c>
      <c r="H236">
        <v>2</v>
      </c>
      <c r="I236" t="s">
        <v>37</v>
      </c>
      <c r="J236" t="s">
        <v>24</v>
      </c>
      <c r="K236">
        <v>30</v>
      </c>
      <c r="L236" t="s">
        <v>38</v>
      </c>
      <c r="M236" t="s">
        <v>22</v>
      </c>
    </row>
    <row r="237" spans="1:13" x14ac:dyDescent="0.3">
      <c r="A237">
        <v>236</v>
      </c>
      <c r="B237" t="s">
        <v>41</v>
      </c>
      <c r="C237" t="s">
        <v>19</v>
      </c>
      <c r="D237">
        <v>75344</v>
      </c>
      <c r="E237" t="s">
        <v>13</v>
      </c>
      <c r="F237" t="s">
        <v>21</v>
      </c>
      <c r="G237" t="s">
        <v>22</v>
      </c>
      <c r="H237">
        <v>1</v>
      </c>
      <c r="I237" t="s">
        <v>27</v>
      </c>
      <c r="J237" t="s">
        <v>28</v>
      </c>
      <c r="K237">
        <v>24</v>
      </c>
      <c r="L237" t="s">
        <v>38</v>
      </c>
      <c r="M237" t="s">
        <v>22</v>
      </c>
    </row>
    <row r="238" spans="1:13" x14ac:dyDescent="0.3">
      <c r="A238">
        <v>237</v>
      </c>
      <c r="B238" t="s">
        <v>41</v>
      </c>
      <c r="C238" t="s">
        <v>19</v>
      </c>
      <c r="D238">
        <v>71688</v>
      </c>
      <c r="E238" t="s">
        <v>31</v>
      </c>
      <c r="F238" t="s">
        <v>35</v>
      </c>
      <c r="G238" t="s">
        <v>22</v>
      </c>
      <c r="H238">
        <v>3</v>
      </c>
      <c r="I238" t="s">
        <v>37</v>
      </c>
      <c r="J238" t="s">
        <v>28</v>
      </c>
      <c r="K238">
        <v>29</v>
      </c>
      <c r="L238" t="s">
        <v>38</v>
      </c>
      <c r="M238" t="s">
        <v>15</v>
      </c>
    </row>
    <row r="239" spans="1:13" x14ac:dyDescent="0.3">
      <c r="A239">
        <v>238</v>
      </c>
      <c r="B239" t="s">
        <v>41</v>
      </c>
      <c r="C239" t="s">
        <v>19</v>
      </c>
      <c r="D239">
        <v>119678</v>
      </c>
      <c r="E239" t="s">
        <v>13</v>
      </c>
      <c r="F239" t="s">
        <v>35</v>
      </c>
      <c r="G239" t="s">
        <v>15</v>
      </c>
      <c r="H239">
        <v>3</v>
      </c>
      <c r="I239" t="s">
        <v>16</v>
      </c>
      <c r="J239" t="s">
        <v>34</v>
      </c>
      <c r="K239">
        <v>55</v>
      </c>
      <c r="L239" t="s">
        <v>29</v>
      </c>
      <c r="M239" t="s">
        <v>15</v>
      </c>
    </row>
    <row r="240" spans="1:13" x14ac:dyDescent="0.3">
      <c r="A240">
        <v>239</v>
      </c>
      <c r="B240" t="s">
        <v>41</v>
      </c>
      <c r="C240" t="s">
        <v>19</v>
      </c>
      <c r="D240">
        <v>50879</v>
      </c>
      <c r="E240" t="s">
        <v>20</v>
      </c>
      <c r="F240" t="s">
        <v>35</v>
      </c>
      <c r="G240" t="s">
        <v>22</v>
      </c>
      <c r="H240">
        <v>0</v>
      </c>
      <c r="I240" t="s">
        <v>23</v>
      </c>
      <c r="J240" t="s">
        <v>17</v>
      </c>
      <c r="K240">
        <v>42</v>
      </c>
      <c r="L240" t="s">
        <v>30</v>
      </c>
      <c r="M240" t="s">
        <v>22</v>
      </c>
    </row>
    <row r="241" spans="1:13" x14ac:dyDescent="0.3">
      <c r="A241">
        <v>240</v>
      </c>
      <c r="B241" t="s">
        <v>41</v>
      </c>
      <c r="C241" t="s">
        <v>12</v>
      </c>
      <c r="D241">
        <v>34004</v>
      </c>
      <c r="E241" t="s">
        <v>20</v>
      </c>
      <c r="F241" t="s">
        <v>21</v>
      </c>
      <c r="G241" t="s">
        <v>15</v>
      </c>
      <c r="H241">
        <v>1</v>
      </c>
      <c r="I241" t="s">
        <v>23</v>
      </c>
      <c r="J241" t="s">
        <v>28</v>
      </c>
      <c r="K241">
        <v>18</v>
      </c>
      <c r="L241" t="s">
        <v>25</v>
      </c>
      <c r="M241" t="s">
        <v>15</v>
      </c>
    </row>
    <row r="242" spans="1:13" x14ac:dyDescent="0.3">
      <c r="A242">
        <v>241</v>
      </c>
      <c r="B242" t="s">
        <v>40</v>
      </c>
      <c r="C242" t="s">
        <v>12</v>
      </c>
      <c r="D242">
        <v>65614</v>
      </c>
      <c r="E242" t="s">
        <v>20</v>
      </c>
      <c r="F242" t="s">
        <v>32</v>
      </c>
      <c r="G242" t="s">
        <v>22</v>
      </c>
      <c r="H242">
        <v>0</v>
      </c>
      <c r="I242" t="s">
        <v>37</v>
      </c>
      <c r="J242" t="s">
        <v>34</v>
      </c>
      <c r="K242">
        <v>23</v>
      </c>
      <c r="L242" t="s">
        <v>38</v>
      </c>
      <c r="M242" t="s">
        <v>22</v>
      </c>
    </row>
    <row r="243" spans="1:13" x14ac:dyDescent="0.3">
      <c r="A243">
        <v>242</v>
      </c>
      <c r="B243" t="s">
        <v>40</v>
      </c>
      <c r="C243" t="s">
        <v>12</v>
      </c>
      <c r="D243">
        <v>66519</v>
      </c>
      <c r="E243" t="s">
        <v>13</v>
      </c>
      <c r="F243" t="s">
        <v>35</v>
      </c>
      <c r="G243" t="s">
        <v>22</v>
      </c>
      <c r="H243">
        <v>3</v>
      </c>
      <c r="I243" t="s">
        <v>27</v>
      </c>
      <c r="J243" t="s">
        <v>17</v>
      </c>
      <c r="K243">
        <v>60</v>
      </c>
      <c r="L243" t="s">
        <v>29</v>
      </c>
      <c r="M243" t="s">
        <v>15</v>
      </c>
    </row>
    <row r="244" spans="1:13" x14ac:dyDescent="0.3">
      <c r="A244">
        <v>243</v>
      </c>
      <c r="B244" t="s">
        <v>40</v>
      </c>
      <c r="C244" t="s">
        <v>19</v>
      </c>
      <c r="D244">
        <v>51216</v>
      </c>
      <c r="E244" t="s">
        <v>26</v>
      </c>
      <c r="F244" t="s">
        <v>21</v>
      </c>
      <c r="G244" t="s">
        <v>22</v>
      </c>
      <c r="H244">
        <v>1</v>
      </c>
      <c r="I244" t="s">
        <v>27</v>
      </c>
      <c r="J244" t="s">
        <v>24</v>
      </c>
      <c r="K244">
        <v>46</v>
      </c>
      <c r="L244" t="s">
        <v>30</v>
      </c>
      <c r="M244" t="s">
        <v>15</v>
      </c>
    </row>
    <row r="245" spans="1:13" x14ac:dyDescent="0.3">
      <c r="A245">
        <v>244</v>
      </c>
      <c r="B245" t="s">
        <v>40</v>
      </c>
      <c r="C245" t="s">
        <v>19</v>
      </c>
      <c r="D245">
        <v>93344</v>
      </c>
      <c r="E245" t="s">
        <v>26</v>
      </c>
      <c r="F245" t="s">
        <v>36</v>
      </c>
      <c r="G245" t="s">
        <v>22</v>
      </c>
      <c r="H245">
        <v>3</v>
      </c>
      <c r="I245" t="s">
        <v>27</v>
      </c>
      <c r="J245" t="s">
        <v>34</v>
      </c>
      <c r="K245">
        <v>60</v>
      </c>
      <c r="L245" t="s">
        <v>29</v>
      </c>
      <c r="M245" t="s">
        <v>15</v>
      </c>
    </row>
    <row r="246" spans="1:13" x14ac:dyDescent="0.3">
      <c r="A246">
        <v>245</v>
      </c>
      <c r="B246" t="s">
        <v>40</v>
      </c>
      <c r="C246" t="s">
        <v>19</v>
      </c>
      <c r="D246">
        <v>115385</v>
      </c>
      <c r="E246" t="s">
        <v>31</v>
      </c>
      <c r="F246" t="s">
        <v>36</v>
      </c>
      <c r="G246" t="s">
        <v>22</v>
      </c>
      <c r="H246">
        <v>3</v>
      </c>
      <c r="I246" t="s">
        <v>37</v>
      </c>
      <c r="J246" t="s">
        <v>17</v>
      </c>
      <c r="K246">
        <v>37</v>
      </c>
      <c r="L246" t="s">
        <v>18</v>
      </c>
      <c r="M246" t="s">
        <v>15</v>
      </c>
    </row>
    <row r="247" spans="1:13" x14ac:dyDescent="0.3">
      <c r="A247">
        <v>246</v>
      </c>
      <c r="B247" t="s">
        <v>40</v>
      </c>
      <c r="C247" t="s">
        <v>19</v>
      </c>
      <c r="D247">
        <v>109557</v>
      </c>
      <c r="E247" t="s">
        <v>13</v>
      </c>
      <c r="F247" t="s">
        <v>21</v>
      </c>
      <c r="G247" t="s">
        <v>15</v>
      </c>
      <c r="H247">
        <v>1</v>
      </c>
      <c r="I247" t="s">
        <v>16</v>
      </c>
      <c r="J247" t="s">
        <v>24</v>
      </c>
      <c r="K247">
        <v>51</v>
      </c>
      <c r="L247" t="s">
        <v>29</v>
      </c>
      <c r="M247" t="s">
        <v>15</v>
      </c>
    </row>
    <row r="248" spans="1:13" x14ac:dyDescent="0.3">
      <c r="A248">
        <v>247</v>
      </c>
      <c r="B248" t="s">
        <v>40</v>
      </c>
      <c r="C248" t="s">
        <v>12</v>
      </c>
      <c r="D248">
        <v>95583</v>
      </c>
      <c r="E248" t="s">
        <v>20</v>
      </c>
      <c r="F248" t="s">
        <v>35</v>
      </c>
      <c r="G248" t="s">
        <v>15</v>
      </c>
      <c r="H248">
        <v>0</v>
      </c>
      <c r="I248" t="s">
        <v>23</v>
      </c>
      <c r="J248" t="s">
        <v>24</v>
      </c>
      <c r="K248">
        <v>47</v>
      </c>
      <c r="L248" t="s">
        <v>30</v>
      </c>
      <c r="M248" t="s">
        <v>15</v>
      </c>
    </row>
    <row r="249" spans="1:13" x14ac:dyDescent="0.3">
      <c r="A249">
        <v>248</v>
      </c>
      <c r="B249" t="s">
        <v>40</v>
      </c>
      <c r="C249" t="s">
        <v>19</v>
      </c>
      <c r="D249">
        <v>83170</v>
      </c>
      <c r="E249" t="s">
        <v>13</v>
      </c>
      <c r="F249" t="s">
        <v>32</v>
      </c>
      <c r="G249" t="s">
        <v>22</v>
      </c>
      <c r="H249">
        <v>3</v>
      </c>
      <c r="I249" t="s">
        <v>16</v>
      </c>
      <c r="J249" t="s">
        <v>28</v>
      </c>
      <c r="K249">
        <v>23</v>
      </c>
      <c r="L249" t="s">
        <v>38</v>
      </c>
      <c r="M249" t="s">
        <v>15</v>
      </c>
    </row>
    <row r="250" spans="1:13" x14ac:dyDescent="0.3">
      <c r="A250">
        <v>249</v>
      </c>
      <c r="B250" t="s">
        <v>40</v>
      </c>
      <c r="C250" t="s">
        <v>19</v>
      </c>
      <c r="D250">
        <v>41327</v>
      </c>
      <c r="E250" t="s">
        <v>20</v>
      </c>
      <c r="F250" t="s">
        <v>35</v>
      </c>
      <c r="G250" t="s">
        <v>15</v>
      </c>
      <c r="H250">
        <v>0</v>
      </c>
      <c r="I250" t="s">
        <v>23</v>
      </c>
      <c r="J250" t="s">
        <v>17</v>
      </c>
      <c r="K250">
        <v>28</v>
      </c>
      <c r="L250" t="s">
        <v>38</v>
      </c>
      <c r="M250" t="s">
        <v>15</v>
      </c>
    </row>
    <row r="251" spans="1:13" x14ac:dyDescent="0.3">
      <c r="A251">
        <v>250</v>
      </c>
      <c r="B251" t="s">
        <v>40</v>
      </c>
      <c r="C251" t="s">
        <v>19</v>
      </c>
      <c r="D251">
        <v>68443</v>
      </c>
      <c r="E251" t="s">
        <v>31</v>
      </c>
      <c r="F251" t="s">
        <v>14</v>
      </c>
      <c r="G251" t="s">
        <v>22</v>
      </c>
      <c r="H251">
        <v>2</v>
      </c>
      <c r="I251" t="s">
        <v>37</v>
      </c>
      <c r="J251" t="s">
        <v>34</v>
      </c>
      <c r="K251">
        <v>60</v>
      </c>
      <c r="L251" t="s">
        <v>29</v>
      </c>
      <c r="M251" t="s">
        <v>15</v>
      </c>
    </row>
    <row r="252" spans="1:13" x14ac:dyDescent="0.3">
      <c r="A252">
        <v>251</v>
      </c>
      <c r="B252" t="s">
        <v>40</v>
      </c>
      <c r="C252" t="s">
        <v>19</v>
      </c>
      <c r="D252">
        <v>101783</v>
      </c>
      <c r="E252" t="s">
        <v>31</v>
      </c>
      <c r="F252" t="s">
        <v>36</v>
      </c>
      <c r="G252" t="s">
        <v>15</v>
      </c>
      <c r="H252">
        <v>3</v>
      </c>
      <c r="I252" t="s">
        <v>27</v>
      </c>
      <c r="J252" t="s">
        <v>17</v>
      </c>
      <c r="K252">
        <v>26</v>
      </c>
      <c r="L252" t="s">
        <v>38</v>
      </c>
      <c r="M252" t="s">
        <v>15</v>
      </c>
    </row>
    <row r="253" spans="1:13" x14ac:dyDescent="0.3">
      <c r="A253">
        <v>252</v>
      </c>
      <c r="B253" t="s">
        <v>40</v>
      </c>
      <c r="C253" t="s">
        <v>12</v>
      </c>
      <c r="D253">
        <v>75725</v>
      </c>
      <c r="E253" t="s">
        <v>26</v>
      </c>
      <c r="F253" t="s">
        <v>36</v>
      </c>
      <c r="G253" t="s">
        <v>22</v>
      </c>
      <c r="H253">
        <v>1</v>
      </c>
      <c r="I253" t="s">
        <v>16</v>
      </c>
      <c r="J253" t="s">
        <v>24</v>
      </c>
      <c r="K253">
        <v>32</v>
      </c>
      <c r="L253" t="s">
        <v>18</v>
      </c>
      <c r="M253" t="s">
        <v>22</v>
      </c>
    </row>
    <row r="254" spans="1:13" x14ac:dyDescent="0.3">
      <c r="A254">
        <v>253</v>
      </c>
      <c r="B254" t="s">
        <v>40</v>
      </c>
      <c r="C254" t="s">
        <v>12</v>
      </c>
      <c r="D254">
        <v>31877</v>
      </c>
      <c r="E254" t="s">
        <v>26</v>
      </c>
      <c r="F254" t="s">
        <v>35</v>
      </c>
      <c r="G254" t="s">
        <v>15</v>
      </c>
      <c r="H254">
        <v>1</v>
      </c>
      <c r="I254" t="s">
        <v>27</v>
      </c>
      <c r="J254" t="s">
        <v>28</v>
      </c>
      <c r="K254">
        <v>53</v>
      </c>
      <c r="L254" t="s">
        <v>29</v>
      </c>
      <c r="M254" t="s">
        <v>15</v>
      </c>
    </row>
    <row r="255" spans="1:13" x14ac:dyDescent="0.3">
      <c r="A255">
        <v>254</v>
      </c>
      <c r="B255" t="s">
        <v>40</v>
      </c>
      <c r="C255" t="s">
        <v>12</v>
      </c>
      <c r="D255">
        <v>81554</v>
      </c>
      <c r="E255" t="s">
        <v>20</v>
      </c>
      <c r="F255" t="s">
        <v>21</v>
      </c>
      <c r="G255" t="s">
        <v>15</v>
      </c>
      <c r="H255">
        <v>1</v>
      </c>
      <c r="I255" t="s">
        <v>27</v>
      </c>
      <c r="J255" t="s">
        <v>17</v>
      </c>
      <c r="K255">
        <v>33</v>
      </c>
      <c r="L255" t="s">
        <v>18</v>
      </c>
      <c r="M255" t="s">
        <v>15</v>
      </c>
    </row>
    <row r="256" spans="1:13" x14ac:dyDescent="0.3">
      <c r="A256">
        <v>255</v>
      </c>
      <c r="B256" t="s">
        <v>40</v>
      </c>
      <c r="C256" t="s">
        <v>19</v>
      </c>
      <c r="D256">
        <v>52382</v>
      </c>
      <c r="E256" t="s">
        <v>26</v>
      </c>
      <c r="F256" t="s">
        <v>32</v>
      </c>
      <c r="G256" t="s">
        <v>15</v>
      </c>
      <c r="H256">
        <v>0</v>
      </c>
      <c r="I256" t="s">
        <v>37</v>
      </c>
      <c r="J256" t="s">
        <v>34</v>
      </c>
      <c r="K256">
        <v>54</v>
      </c>
      <c r="L256" t="s">
        <v>29</v>
      </c>
      <c r="M256" t="s">
        <v>15</v>
      </c>
    </row>
    <row r="257" spans="1:13" x14ac:dyDescent="0.3">
      <c r="A257">
        <v>256</v>
      </c>
      <c r="B257" t="s">
        <v>40</v>
      </c>
      <c r="C257" t="s">
        <v>12</v>
      </c>
      <c r="D257">
        <v>21180</v>
      </c>
      <c r="E257" t="s">
        <v>26</v>
      </c>
      <c r="F257" t="s">
        <v>32</v>
      </c>
      <c r="G257" t="s">
        <v>15</v>
      </c>
      <c r="H257">
        <v>2</v>
      </c>
      <c r="I257" t="s">
        <v>37</v>
      </c>
      <c r="J257" t="s">
        <v>17</v>
      </c>
      <c r="K257">
        <v>46</v>
      </c>
      <c r="L257" t="s">
        <v>30</v>
      </c>
      <c r="M257" t="s">
        <v>15</v>
      </c>
    </row>
    <row r="258" spans="1:13" x14ac:dyDescent="0.3">
      <c r="A258">
        <v>257</v>
      </c>
      <c r="B258" t="s">
        <v>40</v>
      </c>
      <c r="C258" t="s">
        <v>19</v>
      </c>
      <c r="D258">
        <v>113873</v>
      </c>
      <c r="E258" t="s">
        <v>31</v>
      </c>
      <c r="F258" t="s">
        <v>14</v>
      </c>
      <c r="G258" t="s">
        <v>15</v>
      </c>
      <c r="H258">
        <v>0</v>
      </c>
      <c r="I258" t="s">
        <v>27</v>
      </c>
      <c r="J258" t="s">
        <v>24</v>
      </c>
      <c r="K258">
        <v>57</v>
      </c>
      <c r="L258" t="s">
        <v>29</v>
      </c>
      <c r="M258" t="s">
        <v>15</v>
      </c>
    </row>
    <row r="259" spans="1:13" x14ac:dyDescent="0.3">
      <c r="A259">
        <v>258</v>
      </c>
      <c r="B259" t="s">
        <v>40</v>
      </c>
      <c r="C259" t="s">
        <v>19</v>
      </c>
      <c r="D259">
        <v>29062</v>
      </c>
      <c r="E259" t="s">
        <v>31</v>
      </c>
      <c r="F259" t="s">
        <v>32</v>
      </c>
      <c r="G259" t="s">
        <v>15</v>
      </c>
      <c r="H259">
        <v>0</v>
      </c>
      <c r="I259" t="s">
        <v>27</v>
      </c>
      <c r="J259" t="s">
        <v>24</v>
      </c>
      <c r="K259">
        <v>44</v>
      </c>
      <c r="L259" t="s">
        <v>30</v>
      </c>
      <c r="M259" t="s">
        <v>15</v>
      </c>
    </row>
    <row r="260" spans="1:13" x14ac:dyDescent="0.3">
      <c r="A260">
        <v>259</v>
      </c>
      <c r="B260" t="s">
        <v>40</v>
      </c>
      <c r="C260" t="s">
        <v>19</v>
      </c>
      <c r="D260">
        <v>68798</v>
      </c>
      <c r="E260" t="s">
        <v>20</v>
      </c>
      <c r="F260" t="s">
        <v>32</v>
      </c>
      <c r="G260" t="s">
        <v>15</v>
      </c>
      <c r="H260">
        <v>2</v>
      </c>
      <c r="I260" t="s">
        <v>23</v>
      </c>
      <c r="J260" t="s">
        <v>24</v>
      </c>
      <c r="K260">
        <v>20</v>
      </c>
      <c r="L260" t="s">
        <v>25</v>
      </c>
      <c r="M260" t="s">
        <v>22</v>
      </c>
    </row>
    <row r="261" spans="1:13" x14ac:dyDescent="0.3">
      <c r="A261">
        <v>260</v>
      </c>
      <c r="B261" t="s">
        <v>40</v>
      </c>
      <c r="C261" t="s">
        <v>12</v>
      </c>
      <c r="D261">
        <v>46491</v>
      </c>
      <c r="E261" t="s">
        <v>31</v>
      </c>
      <c r="F261" t="s">
        <v>14</v>
      </c>
      <c r="G261" t="s">
        <v>22</v>
      </c>
      <c r="H261">
        <v>3</v>
      </c>
      <c r="I261" t="s">
        <v>33</v>
      </c>
      <c r="J261" t="s">
        <v>34</v>
      </c>
      <c r="K261">
        <v>30</v>
      </c>
      <c r="L261" t="s">
        <v>38</v>
      </c>
      <c r="M261" t="s">
        <v>15</v>
      </c>
    </row>
    <row r="262" spans="1:13" x14ac:dyDescent="0.3">
      <c r="A262">
        <v>261</v>
      </c>
      <c r="B262" t="s">
        <v>40</v>
      </c>
      <c r="C262" t="s">
        <v>19</v>
      </c>
      <c r="D262">
        <v>70059</v>
      </c>
      <c r="E262" t="s">
        <v>26</v>
      </c>
      <c r="F262" t="s">
        <v>32</v>
      </c>
      <c r="G262" t="s">
        <v>22</v>
      </c>
      <c r="H262">
        <v>1</v>
      </c>
      <c r="I262" t="s">
        <v>33</v>
      </c>
      <c r="J262" t="s">
        <v>24</v>
      </c>
      <c r="K262">
        <v>52</v>
      </c>
      <c r="L262" t="s">
        <v>29</v>
      </c>
      <c r="M262" t="s">
        <v>15</v>
      </c>
    </row>
    <row r="263" spans="1:13" x14ac:dyDescent="0.3">
      <c r="A263">
        <v>262</v>
      </c>
      <c r="B263" t="s">
        <v>40</v>
      </c>
      <c r="C263" t="s">
        <v>12</v>
      </c>
      <c r="D263">
        <v>105961</v>
      </c>
      <c r="E263" t="s">
        <v>20</v>
      </c>
      <c r="F263" t="s">
        <v>35</v>
      </c>
      <c r="G263" t="s">
        <v>22</v>
      </c>
      <c r="H263">
        <v>1</v>
      </c>
      <c r="I263" t="s">
        <v>16</v>
      </c>
      <c r="J263" t="s">
        <v>17</v>
      </c>
      <c r="K263">
        <v>56</v>
      </c>
      <c r="L263" t="s">
        <v>29</v>
      </c>
      <c r="M263" t="s">
        <v>15</v>
      </c>
    </row>
    <row r="264" spans="1:13" x14ac:dyDescent="0.3">
      <c r="A264">
        <v>263</v>
      </c>
      <c r="B264" t="s">
        <v>41</v>
      </c>
      <c r="C264" t="s">
        <v>19</v>
      </c>
      <c r="D264">
        <v>61833</v>
      </c>
      <c r="E264" t="s">
        <v>31</v>
      </c>
      <c r="F264" t="s">
        <v>32</v>
      </c>
      <c r="G264" t="s">
        <v>15</v>
      </c>
      <c r="H264">
        <v>3</v>
      </c>
      <c r="I264" t="s">
        <v>33</v>
      </c>
      <c r="J264" t="s">
        <v>17</v>
      </c>
      <c r="K264">
        <v>42</v>
      </c>
      <c r="L264" t="s">
        <v>30</v>
      </c>
      <c r="M264" t="s">
        <v>15</v>
      </c>
    </row>
    <row r="265" spans="1:13" x14ac:dyDescent="0.3">
      <c r="A265">
        <v>264</v>
      </c>
      <c r="B265" t="s">
        <v>41</v>
      </c>
      <c r="C265" t="s">
        <v>19</v>
      </c>
      <c r="D265">
        <v>82400</v>
      </c>
      <c r="E265" t="s">
        <v>26</v>
      </c>
      <c r="F265" t="s">
        <v>35</v>
      </c>
      <c r="G265" t="s">
        <v>22</v>
      </c>
      <c r="H265">
        <v>0</v>
      </c>
      <c r="I265" t="s">
        <v>37</v>
      </c>
      <c r="J265" t="s">
        <v>17</v>
      </c>
      <c r="K265">
        <v>21</v>
      </c>
      <c r="L265" t="s">
        <v>38</v>
      </c>
      <c r="M265" t="s">
        <v>22</v>
      </c>
    </row>
    <row r="266" spans="1:13" x14ac:dyDescent="0.3">
      <c r="A266">
        <v>265</v>
      </c>
      <c r="B266" t="s">
        <v>40</v>
      </c>
      <c r="C266" t="s">
        <v>19</v>
      </c>
      <c r="D266">
        <v>64464</v>
      </c>
      <c r="E266" t="s">
        <v>13</v>
      </c>
      <c r="F266" t="s">
        <v>35</v>
      </c>
      <c r="G266" t="s">
        <v>15</v>
      </c>
      <c r="H266">
        <v>2</v>
      </c>
      <c r="I266" t="s">
        <v>27</v>
      </c>
      <c r="J266" t="s">
        <v>28</v>
      </c>
      <c r="K266">
        <v>33</v>
      </c>
      <c r="L266" t="s">
        <v>18</v>
      </c>
      <c r="M266" t="s">
        <v>22</v>
      </c>
    </row>
    <row r="267" spans="1:13" x14ac:dyDescent="0.3">
      <c r="A267">
        <v>266</v>
      </c>
      <c r="B267" t="s">
        <v>40</v>
      </c>
      <c r="C267" t="s">
        <v>12</v>
      </c>
      <c r="D267">
        <v>40021</v>
      </c>
      <c r="E267" t="s">
        <v>26</v>
      </c>
      <c r="F267" t="s">
        <v>35</v>
      </c>
      <c r="G267" t="s">
        <v>15</v>
      </c>
      <c r="H267">
        <v>2</v>
      </c>
      <c r="I267" t="s">
        <v>37</v>
      </c>
      <c r="J267" t="s">
        <v>24</v>
      </c>
      <c r="K267">
        <v>28</v>
      </c>
      <c r="L267" t="s">
        <v>38</v>
      </c>
      <c r="M267" t="s">
        <v>15</v>
      </c>
    </row>
    <row r="268" spans="1:13" x14ac:dyDescent="0.3">
      <c r="A268">
        <v>267</v>
      </c>
      <c r="B268" t="s">
        <v>40</v>
      </c>
      <c r="C268" t="s">
        <v>19</v>
      </c>
      <c r="D268">
        <v>23790</v>
      </c>
      <c r="E268" t="s">
        <v>20</v>
      </c>
      <c r="F268" t="s">
        <v>36</v>
      </c>
      <c r="G268" t="s">
        <v>15</v>
      </c>
      <c r="H268">
        <v>3</v>
      </c>
      <c r="I268" t="s">
        <v>23</v>
      </c>
      <c r="J268" t="s">
        <v>28</v>
      </c>
      <c r="K268">
        <v>18</v>
      </c>
      <c r="L268" t="s">
        <v>25</v>
      </c>
      <c r="M268" t="s">
        <v>15</v>
      </c>
    </row>
    <row r="269" spans="1:13" x14ac:dyDescent="0.3">
      <c r="A269">
        <v>268</v>
      </c>
      <c r="B269" t="s">
        <v>41</v>
      </c>
      <c r="C269" t="s">
        <v>12</v>
      </c>
      <c r="D269">
        <v>119946</v>
      </c>
      <c r="E269" t="s">
        <v>20</v>
      </c>
      <c r="F269" t="s">
        <v>21</v>
      </c>
      <c r="G269" t="s">
        <v>22</v>
      </c>
      <c r="H269">
        <v>0</v>
      </c>
      <c r="I269" t="s">
        <v>33</v>
      </c>
      <c r="J269" t="s">
        <v>17</v>
      </c>
      <c r="K269">
        <v>41</v>
      </c>
      <c r="L269" t="s">
        <v>30</v>
      </c>
      <c r="M269" t="s">
        <v>22</v>
      </c>
    </row>
    <row r="270" spans="1:13" x14ac:dyDescent="0.3">
      <c r="A270">
        <v>269</v>
      </c>
      <c r="B270" t="s">
        <v>40</v>
      </c>
      <c r="C270" t="s">
        <v>19</v>
      </c>
      <c r="D270">
        <v>79162</v>
      </c>
      <c r="E270" t="s">
        <v>13</v>
      </c>
      <c r="F270" t="s">
        <v>14</v>
      </c>
      <c r="G270" t="s">
        <v>22</v>
      </c>
      <c r="H270">
        <v>2</v>
      </c>
      <c r="I270" t="s">
        <v>23</v>
      </c>
      <c r="J270" t="s">
        <v>34</v>
      </c>
      <c r="K270">
        <v>51</v>
      </c>
      <c r="L270" t="s">
        <v>29</v>
      </c>
      <c r="M270" t="s">
        <v>15</v>
      </c>
    </row>
    <row r="271" spans="1:13" x14ac:dyDescent="0.3">
      <c r="A271">
        <v>270</v>
      </c>
      <c r="B271" t="s">
        <v>41</v>
      </c>
      <c r="C271" t="s">
        <v>12</v>
      </c>
      <c r="D271">
        <v>40169</v>
      </c>
      <c r="E271" t="s">
        <v>13</v>
      </c>
      <c r="F271" t="s">
        <v>14</v>
      </c>
      <c r="G271" t="s">
        <v>15</v>
      </c>
      <c r="H271">
        <v>0</v>
      </c>
      <c r="I271" t="s">
        <v>37</v>
      </c>
      <c r="J271" t="s">
        <v>28</v>
      </c>
      <c r="K271">
        <v>38</v>
      </c>
      <c r="L271" t="s">
        <v>18</v>
      </c>
      <c r="M271" t="s">
        <v>15</v>
      </c>
    </row>
    <row r="272" spans="1:13" x14ac:dyDescent="0.3">
      <c r="A272">
        <v>271</v>
      </c>
      <c r="B272" t="s">
        <v>40</v>
      </c>
      <c r="C272" t="s">
        <v>19</v>
      </c>
      <c r="D272">
        <v>87402</v>
      </c>
      <c r="E272" t="s">
        <v>31</v>
      </c>
      <c r="F272" t="s">
        <v>21</v>
      </c>
      <c r="G272" t="s">
        <v>15</v>
      </c>
      <c r="H272">
        <v>1</v>
      </c>
      <c r="I272" t="s">
        <v>23</v>
      </c>
      <c r="J272" t="s">
        <v>17</v>
      </c>
      <c r="K272">
        <v>33</v>
      </c>
      <c r="L272" t="s">
        <v>18</v>
      </c>
      <c r="M272" t="s">
        <v>22</v>
      </c>
    </row>
    <row r="273" spans="1:13" x14ac:dyDescent="0.3">
      <c r="A273">
        <v>272</v>
      </c>
      <c r="B273" t="s">
        <v>40</v>
      </c>
      <c r="C273" t="s">
        <v>19</v>
      </c>
      <c r="D273">
        <v>57758</v>
      </c>
      <c r="E273" t="s">
        <v>31</v>
      </c>
      <c r="F273" t="s">
        <v>14</v>
      </c>
      <c r="G273" t="s">
        <v>15</v>
      </c>
      <c r="H273">
        <v>2</v>
      </c>
      <c r="I273" t="s">
        <v>16</v>
      </c>
      <c r="J273" t="s">
        <v>24</v>
      </c>
      <c r="K273">
        <v>41</v>
      </c>
      <c r="L273" t="s">
        <v>30</v>
      </c>
      <c r="M273" t="s">
        <v>15</v>
      </c>
    </row>
    <row r="274" spans="1:13" x14ac:dyDescent="0.3">
      <c r="A274">
        <v>273</v>
      </c>
      <c r="B274" t="s">
        <v>40</v>
      </c>
      <c r="C274" t="s">
        <v>19</v>
      </c>
      <c r="D274">
        <v>103934</v>
      </c>
      <c r="E274" t="s">
        <v>31</v>
      </c>
      <c r="F274" t="s">
        <v>36</v>
      </c>
      <c r="G274" t="s">
        <v>15</v>
      </c>
      <c r="H274">
        <v>0</v>
      </c>
      <c r="I274" t="s">
        <v>33</v>
      </c>
      <c r="J274" t="s">
        <v>34</v>
      </c>
      <c r="K274">
        <v>26</v>
      </c>
      <c r="L274" t="s">
        <v>38</v>
      </c>
      <c r="M274" t="s">
        <v>22</v>
      </c>
    </row>
    <row r="275" spans="1:13" x14ac:dyDescent="0.3">
      <c r="A275">
        <v>274</v>
      </c>
      <c r="B275" t="s">
        <v>40</v>
      </c>
      <c r="C275" t="s">
        <v>12</v>
      </c>
      <c r="D275">
        <v>35094</v>
      </c>
      <c r="E275" t="s">
        <v>26</v>
      </c>
      <c r="F275" t="s">
        <v>14</v>
      </c>
      <c r="G275" t="s">
        <v>15</v>
      </c>
      <c r="H275">
        <v>0</v>
      </c>
      <c r="I275" t="s">
        <v>33</v>
      </c>
      <c r="J275" t="s">
        <v>34</v>
      </c>
      <c r="K275">
        <v>27</v>
      </c>
      <c r="L275" t="s">
        <v>38</v>
      </c>
      <c r="M275" t="s">
        <v>15</v>
      </c>
    </row>
    <row r="276" spans="1:13" x14ac:dyDescent="0.3">
      <c r="A276">
        <v>275</v>
      </c>
      <c r="B276" t="s">
        <v>40</v>
      </c>
      <c r="C276" t="s">
        <v>19</v>
      </c>
      <c r="D276">
        <v>109079</v>
      </c>
      <c r="E276" t="s">
        <v>13</v>
      </c>
      <c r="F276" t="s">
        <v>14</v>
      </c>
      <c r="G276" t="s">
        <v>22</v>
      </c>
      <c r="H276">
        <v>0</v>
      </c>
      <c r="I276" t="s">
        <v>27</v>
      </c>
      <c r="J276" t="s">
        <v>28</v>
      </c>
      <c r="K276">
        <v>21</v>
      </c>
      <c r="L276" t="s">
        <v>38</v>
      </c>
      <c r="M276" t="s">
        <v>15</v>
      </c>
    </row>
    <row r="277" spans="1:13" x14ac:dyDescent="0.3">
      <c r="A277">
        <v>276</v>
      </c>
      <c r="B277" t="s">
        <v>40</v>
      </c>
      <c r="C277" t="s">
        <v>12</v>
      </c>
      <c r="D277">
        <v>30524</v>
      </c>
      <c r="E277" t="s">
        <v>26</v>
      </c>
      <c r="F277" t="s">
        <v>21</v>
      </c>
      <c r="G277" t="s">
        <v>22</v>
      </c>
      <c r="H277">
        <v>0</v>
      </c>
      <c r="I277" t="s">
        <v>33</v>
      </c>
      <c r="J277" t="s">
        <v>17</v>
      </c>
      <c r="K277">
        <v>19</v>
      </c>
      <c r="L277" t="s">
        <v>25</v>
      </c>
      <c r="M277" t="s">
        <v>15</v>
      </c>
    </row>
    <row r="278" spans="1:13" x14ac:dyDescent="0.3">
      <c r="A278">
        <v>277</v>
      </c>
      <c r="B278" t="s">
        <v>40</v>
      </c>
      <c r="C278" t="s">
        <v>12</v>
      </c>
      <c r="D278">
        <v>119301</v>
      </c>
      <c r="E278" t="s">
        <v>31</v>
      </c>
      <c r="F278" t="s">
        <v>32</v>
      </c>
      <c r="G278" t="s">
        <v>22</v>
      </c>
      <c r="H278">
        <v>2</v>
      </c>
      <c r="I278" t="s">
        <v>16</v>
      </c>
      <c r="J278" t="s">
        <v>24</v>
      </c>
      <c r="K278">
        <v>38</v>
      </c>
      <c r="L278" t="s">
        <v>18</v>
      </c>
      <c r="M278" t="s">
        <v>15</v>
      </c>
    </row>
    <row r="279" spans="1:13" x14ac:dyDescent="0.3">
      <c r="A279">
        <v>278</v>
      </c>
      <c r="B279" t="s">
        <v>40</v>
      </c>
      <c r="C279" t="s">
        <v>19</v>
      </c>
      <c r="D279">
        <v>53224</v>
      </c>
      <c r="E279" t="s">
        <v>31</v>
      </c>
      <c r="F279" t="s">
        <v>35</v>
      </c>
      <c r="G279" t="s">
        <v>15</v>
      </c>
      <c r="H279">
        <v>0</v>
      </c>
      <c r="I279" t="s">
        <v>27</v>
      </c>
      <c r="J279" t="s">
        <v>24</v>
      </c>
      <c r="K279">
        <v>27</v>
      </c>
      <c r="L279" t="s">
        <v>38</v>
      </c>
      <c r="M279" t="s">
        <v>15</v>
      </c>
    </row>
    <row r="280" spans="1:13" x14ac:dyDescent="0.3">
      <c r="A280">
        <v>279</v>
      </c>
      <c r="B280" t="s">
        <v>40</v>
      </c>
      <c r="C280" t="s">
        <v>12</v>
      </c>
      <c r="D280">
        <v>21139</v>
      </c>
      <c r="E280" t="s">
        <v>20</v>
      </c>
      <c r="F280" t="s">
        <v>14</v>
      </c>
      <c r="G280" t="s">
        <v>15</v>
      </c>
      <c r="H280">
        <v>3</v>
      </c>
      <c r="I280" t="s">
        <v>16</v>
      </c>
      <c r="J280" t="s">
        <v>17</v>
      </c>
      <c r="K280">
        <v>38</v>
      </c>
      <c r="L280" t="s">
        <v>18</v>
      </c>
      <c r="M280" t="s">
        <v>15</v>
      </c>
    </row>
    <row r="281" spans="1:13" x14ac:dyDescent="0.3">
      <c r="A281">
        <v>280</v>
      </c>
      <c r="B281" t="s">
        <v>40</v>
      </c>
      <c r="C281" t="s">
        <v>19</v>
      </c>
      <c r="D281">
        <v>31601</v>
      </c>
      <c r="E281" t="s">
        <v>13</v>
      </c>
      <c r="F281" t="s">
        <v>21</v>
      </c>
      <c r="G281" t="s">
        <v>15</v>
      </c>
      <c r="H281">
        <v>2</v>
      </c>
      <c r="I281" t="s">
        <v>27</v>
      </c>
      <c r="J281" t="s">
        <v>24</v>
      </c>
      <c r="K281">
        <v>52</v>
      </c>
      <c r="L281" t="s">
        <v>29</v>
      </c>
      <c r="M281" t="s">
        <v>15</v>
      </c>
    </row>
    <row r="282" spans="1:13" x14ac:dyDescent="0.3">
      <c r="A282">
        <v>281</v>
      </c>
      <c r="B282" t="s">
        <v>40</v>
      </c>
      <c r="C282" t="s">
        <v>12</v>
      </c>
      <c r="D282">
        <v>35929</v>
      </c>
      <c r="E282" t="s">
        <v>31</v>
      </c>
      <c r="F282" t="s">
        <v>35</v>
      </c>
      <c r="G282" t="s">
        <v>22</v>
      </c>
      <c r="H282">
        <v>0</v>
      </c>
      <c r="I282" t="s">
        <v>16</v>
      </c>
      <c r="J282" t="s">
        <v>24</v>
      </c>
      <c r="K282">
        <v>24</v>
      </c>
      <c r="L282" t="s">
        <v>38</v>
      </c>
      <c r="M282" t="s">
        <v>15</v>
      </c>
    </row>
    <row r="283" spans="1:13" x14ac:dyDescent="0.3">
      <c r="A283">
        <v>282</v>
      </c>
      <c r="B283" t="s">
        <v>40</v>
      </c>
      <c r="C283" t="s">
        <v>19</v>
      </c>
      <c r="D283">
        <v>100286</v>
      </c>
      <c r="E283" t="s">
        <v>20</v>
      </c>
      <c r="F283" t="s">
        <v>36</v>
      </c>
      <c r="G283" t="s">
        <v>22</v>
      </c>
      <c r="H283">
        <v>2</v>
      </c>
      <c r="I283" t="s">
        <v>16</v>
      </c>
      <c r="J283" t="s">
        <v>17</v>
      </c>
      <c r="K283">
        <v>49</v>
      </c>
      <c r="L283" t="s">
        <v>30</v>
      </c>
      <c r="M283" t="s">
        <v>15</v>
      </c>
    </row>
    <row r="284" spans="1:13" x14ac:dyDescent="0.3">
      <c r="A284">
        <v>283</v>
      </c>
      <c r="B284" t="s">
        <v>40</v>
      </c>
      <c r="C284" t="s">
        <v>19</v>
      </c>
      <c r="D284">
        <v>117220</v>
      </c>
      <c r="E284" t="s">
        <v>20</v>
      </c>
      <c r="F284" t="s">
        <v>21</v>
      </c>
      <c r="G284" t="s">
        <v>15</v>
      </c>
      <c r="H284">
        <v>1</v>
      </c>
      <c r="I284" t="s">
        <v>27</v>
      </c>
      <c r="J284" t="s">
        <v>28</v>
      </c>
      <c r="K284">
        <v>30</v>
      </c>
      <c r="L284" t="s">
        <v>38</v>
      </c>
      <c r="M284" t="s">
        <v>22</v>
      </c>
    </row>
    <row r="285" spans="1:13" x14ac:dyDescent="0.3">
      <c r="A285">
        <v>284</v>
      </c>
      <c r="B285" t="s">
        <v>40</v>
      </c>
      <c r="C285" t="s">
        <v>12</v>
      </c>
      <c r="D285">
        <v>113003</v>
      </c>
      <c r="E285" t="s">
        <v>13</v>
      </c>
      <c r="F285" t="s">
        <v>32</v>
      </c>
      <c r="G285" t="s">
        <v>15</v>
      </c>
      <c r="H285">
        <v>0</v>
      </c>
      <c r="I285" t="s">
        <v>23</v>
      </c>
      <c r="J285" t="s">
        <v>24</v>
      </c>
      <c r="K285">
        <v>43</v>
      </c>
      <c r="L285" t="s">
        <v>30</v>
      </c>
      <c r="M285" t="s">
        <v>22</v>
      </c>
    </row>
    <row r="286" spans="1:13" x14ac:dyDescent="0.3">
      <c r="A286">
        <v>285</v>
      </c>
      <c r="B286" t="s">
        <v>40</v>
      </c>
      <c r="C286" t="s">
        <v>12</v>
      </c>
      <c r="D286">
        <v>104140</v>
      </c>
      <c r="E286" t="s">
        <v>26</v>
      </c>
      <c r="F286" t="s">
        <v>35</v>
      </c>
      <c r="G286" t="s">
        <v>15</v>
      </c>
      <c r="H286">
        <v>2</v>
      </c>
      <c r="I286" t="s">
        <v>16</v>
      </c>
      <c r="J286" t="s">
        <v>28</v>
      </c>
      <c r="K286">
        <v>18</v>
      </c>
      <c r="L286" t="s">
        <v>25</v>
      </c>
      <c r="M286" t="s">
        <v>15</v>
      </c>
    </row>
    <row r="287" spans="1:13" x14ac:dyDescent="0.3">
      <c r="A287">
        <v>286</v>
      </c>
      <c r="B287" t="s">
        <v>40</v>
      </c>
      <c r="C287" t="s">
        <v>19</v>
      </c>
      <c r="D287">
        <v>34607</v>
      </c>
      <c r="E287" t="s">
        <v>20</v>
      </c>
      <c r="F287" t="s">
        <v>36</v>
      </c>
      <c r="G287" t="s">
        <v>15</v>
      </c>
      <c r="H287">
        <v>2</v>
      </c>
      <c r="I287" t="s">
        <v>27</v>
      </c>
      <c r="J287" t="s">
        <v>24</v>
      </c>
      <c r="K287">
        <v>58</v>
      </c>
      <c r="L287" t="s">
        <v>29</v>
      </c>
      <c r="M287" t="s">
        <v>15</v>
      </c>
    </row>
    <row r="288" spans="1:13" x14ac:dyDescent="0.3">
      <c r="A288">
        <v>287</v>
      </c>
      <c r="B288" t="s">
        <v>40</v>
      </c>
      <c r="C288" t="s">
        <v>19</v>
      </c>
      <c r="D288">
        <v>62444</v>
      </c>
      <c r="E288" t="s">
        <v>13</v>
      </c>
      <c r="F288" t="s">
        <v>14</v>
      </c>
      <c r="G288" t="s">
        <v>22</v>
      </c>
      <c r="H288">
        <v>3</v>
      </c>
      <c r="I288" t="s">
        <v>27</v>
      </c>
      <c r="J288" t="s">
        <v>17</v>
      </c>
      <c r="K288">
        <v>44</v>
      </c>
      <c r="L288" t="s">
        <v>30</v>
      </c>
      <c r="M288" t="s">
        <v>15</v>
      </c>
    </row>
    <row r="289" spans="1:13" x14ac:dyDescent="0.3">
      <c r="A289">
        <v>288</v>
      </c>
      <c r="B289" t="s">
        <v>40</v>
      </c>
      <c r="C289" t="s">
        <v>19</v>
      </c>
      <c r="D289">
        <v>116969</v>
      </c>
      <c r="E289" t="s">
        <v>31</v>
      </c>
      <c r="F289" t="s">
        <v>14</v>
      </c>
      <c r="G289" t="s">
        <v>22</v>
      </c>
      <c r="H289">
        <v>3</v>
      </c>
      <c r="I289" t="s">
        <v>27</v>
      </c>
      <c r="J289" t="s">
        <v>24</v>
      </c>
      <c r="K289">
        <v>44</v>
      </c>
      <c r="L289" t="s">
        <v>30</v>
      </c>
      <c r="M289" t="s">
        <v>15</v>
      </c>
    </row>
    <row r="290" spans="1:13" x14ac:dyDescent="0.3">
      <c r="A290">
        <v>289</v>
      </c>
      <c r="B290" t="s">
        <v>40</v>
      </c>
      <c r="C290" t="s">
        <v>19</v>
      </c>
      <c r="D290">
        <v>90626</v>
      </c>
      <c r="E290" t="s">
        <v>26</v>
      </c>
      <c r="F290" t="s">
        <v>32</v>
      </c>
      <c r="G290" t="s">
        <v>15</v>
      </c>
      <c r="H290">
        <v>3</v>
      </c>
      <c r="I290" t="s">
        <v>33</v>
      </c>
      <c r="J290" t="s">
        <v>24</v>
      </c>
      <c r="K290">
        <v>42</v>
      </c>
      <c r="L290" t="s">
        <v>30</v>
      </c>
      <c r="M290" t="s">
        <v>15</v>
      </c>
    </row>
    <row r="291" spans="1:13" x14ac:dyDescent="0.3">
      <c r="A291">
        <v>290</v>
      </c>
      <c r="B291" t="s">
        <v>40</v>
      </c>
      <c r="C291" t="s">
        <v>19</v>
      </c>
      <c r="D291">
        <v>27446</v>
      </c>
      <c r="E291" t="s">
        <v>26</v>
      </c>
      <c r="F291" t="s">
        <v>36</v>
      </c>
      <c r="G291" t="s">
        <v>22</v>
      </c>
      <c r="H291">
        <v>3</v>
      </c>
      <c r="I291" t="s">
        <v>27</v>
      </c>
      <c r="J291" t="s">
        <v>34</v>
      </c>
      <c r="K291">
        <v>37</v>
      </c>
      <c r="L291" t="s">
        <v>18</v>
      </c>
      <c r="M291" t="s">
        <v>15</v>
      </c>
    </row>
    <row r="292" spans="1:13" x14ac:dyDescent="0.3">
      <c r="A292">
        <v>291</v>
      </c>
      <c r="B292" t="s">
        <v>41</v>
      </c>
      <c r="C292" t="s">
        <v>19</v>
      </c>
      <c r="D292">
        <v>47827</v>
      </c>
      <c r="E292" t="s">
        <v>31</v>
      </c>
      <c r="F292" t="s">
        <v>36</v>
      </c>
      <c r="G292" t="s">
        <v>22</v>
      </c>
      <c r="H292">
        <v>1</v>
      </c>
      <c r="I292" t="s">
        <v>37</v>
      </c>
      <c r="J292" t="s">
        <v>17</v>
      </c>
      <c r="K292">
        <v>37</v>
      </c>
      <c r="L292" t="s">
        <v>18</v>
      </c>
      <c r="M292" t="s">
        <v>22</v>
      </c>
    </row>
    <row r="293" spans="1:13" x14ac:dyDescent="0.3">
      <c r="A293">
        <v>292</v>
      </c>
      <c r="B293" t="s">
        <v>41</v>
      </c>
      <c r="C293" t="s">
        <v>12</v>
      </c>
      <c r="D293">
        <v>89539</v>
      </c>
      <c r="E293" t="s">
        <v>26</v>
      </c>
      <c r="F293" t="s">
        <v>21</v>
      </c>
      <c r="G293" t="s">
        <v>22</v>
      </c>
      <c r="H293">
        <v>0</v>
      </c>
      <c r="I293" t="s">
        <v>23</v>
      </c>
      <c r="J293" t="s">
        <v>34</v>
      </c>
      <c r="K293">
        <v>42</v>
      </c>
      <c r="L293" t="s">
        <v>30</v>
      </c>
      <c r="M293" t="s">
        <v>22</v>
      </c>
    </row>
    <row r="294" spans="1:13" x14ac:dyDescent="0.3">
      <c r="A294">
        <v>293</v>
      </c>
      <c r="B294" t="s">
        <v>41</v>
      </c>
      <c r="C294" t="s">
        <v>12</v>
      </c>
      <c r="D294">
        <v>54310</v>
      </c>
      <c r="E294" t="s">
        <v>31</v>
      </c>
      <c r="F294" t="s">
        <v>35</v>
      </c>
      <c r="G294" t="s">
        <v>22</v>
      </c>
      <c r="H294">
        <v>3</v>
      </c>
      <c r="I294" t="s">
        <v>37</v>
      </c>
      <c r="J294" t="s">
        <v>28</v>
      </c>
      <c r="K294">
        <v>35</v>
      </c>
      <c r="L294" t="s">
        <v>18</v>
      </c>
      <c r="M294" t="s">
        <v>15</v>
      </c>
    </row>
    <row r="295" spans="1:13" x14ac:dyDescent="0.3">
      <c r="A295">
        <v>294</v>
      </c>
      <c r="B295" t="s">
        <v>40</v>
      </c>
      <c r="C295" t="s">
        <v>19</v>
      </c>
      <c r="D295">
        <v>108661</v>
      </c>
      <c r="E295" t="s">
        <v>31</v>
      </c>
      <c r="F295" t="s">
        <v>21</v>
      </c>
      <c r="G295" t="s">
        <v>15</v>
      </c>
      <c r="H295">
        <v>0</v>
      </c>
      <c r="I295" t="s">
        <v>33</v>
      </c>
      <c r="J295" t="s">
        <v>28</v>
      </c>
      <c r="K295">
        <v>54</v>
      </c>
      <c r="L295" t="s">
        <v>29</v>
      </c>
      <c r="M295" t="s">
        <v>15</v>
      </c>
    </row>
    <row r="296" spans="1:13" x14ac:dyDescent="0.3">
      <c r="A296">
        <v>295</v>
      </c>
      <c r="B296" t="s">
        <v>41</v>
      </c>
      <c r="C296" t="s">
        <v>19</v>
      </c>
      <c r="D296">
        <v>105789</v>
      </c>
      <c r="E296" t="s">
        <v>31</v>
      </c>
      <c r="F296" t="s">
        <v>35</v>
      </c>
      <c r="G296" t="s">
        <v>15</v>
      </c>
      <c r="H296">
        <v>0</v>
      </c>
      <c r="I296" t="s">
        <v>23</v>
      </c>
      <c r="J296" t="s">
        <v>17</v>
      </c>
      <c r="K296">
        <v>43</v>
      </c>
      <c r="L296" t="s">
        <v>30</v>
      </c>
      <c r="M296" t="s">
        <v>22</v>
      </c>
    </row>
    <row r="297" spans="1:13" x14ac:dyDescent="0.3">
      <c r="A297">
        <v>296</v>
      </c>
      <c r="B297" t="s">
        <v>40</v>
      </c>
      <c r="C297" t="s">
        <v>19</v>
      </c>
      <c r="D297">
        <v>20280</v>
      </c>
      <c r="E297" t="s">
        <v>20</v>
      </c>
      <c r="F297" t="s">
        <v>36</v>
      </c>
      <c r="G297" t="s">
        <v>15</v>
      </c>
      <c r="H297">
        <v>0</v>
      </c>
      <c r="I297" t="s">
        <v>23</v>
      </c>
      <c r="J297" t="s">
        <v>34</v>
      </c>
      <c r="K297">
        <v>49</v>
      </c>
      <c r="L297" t="s">
        <v>30</v>
      </c>
      <c r="M297" t="s">
        <v>15</v>
      </c>
    </row>
    <row r="298" spans="1:13" x14ac:dyDescent="0.3">
      <c r="A298">
        <v>297</v>
      </c>
      <c r="B298" t="s">
        <v>41</v>
      </c>
      <c r="C298" t="s">
        <v>19</v>
      </c>
      <c r="D298">
        <v>32791</v>
      </c>
      <c r="E298" t="s">
        <v>20</v>
      </c>
      <c r="F298" t="s">
        <v>21</v>
      </c>
      <c r="G298" t="s">
        <v>15</v>
      </c>
      <c r="H298">
        <v>3</v>
      </c>
      <c r="I298" t="s">
        <v>23</v>
      </c>
      <c r="J298" t="s">
        <v>28</v>
      </c>
      <c r="K298">
        <v>58</v>
      </c>
      <c r="L298" t="s">
        <v>29</v>
      </c>
      <c r="M298" t="s">
        <v>15</v>
      </c>
    </row>
    <row r="299" spans="1:13" x14ac:dyDescent="0.3">
      <c r="A299">
        <v>298</v>
      </c>
      <c r="B299" t="s">
        <v>40</v>
      </c>
      <c r="C299" t="s">
        <v>12</v>
      </c>
      <c r="D299">
        <v>42991</v>
      </c>
      <c r="E299" t="s">
        <v>13</v>
      </c>
      <c r="F299" t="s">
        <v>35</v>
      </c>
      <c r="G299" t="s">
        <v>15</v>
      </c>
      <c r="H299">
        <v>0</v>
      </c>
      <c r="I299" t="s">
        <v>37</v>
      </c>
      <c r="J299" t="s">
        <v>34</v>
      </c>
      <c r="K299">
        <v>23</v>
      </c>
      <c r="L299" t="s">
        <v>38</v>
      </c>
      <c r="M299" t="s">
        <v>15</v>
      </c>
    </row>
    <row r="300" spans="1:13" x14ac:dyDescent="0.3">
      <c r="A300">
        <v>299</v>
      </c>
      <c r="B300" t="s">
        <v>41</v>
      </c>
      <c r="C300" t="s">
        <v>19</v>
      </c>
      <c r="D300">
        <v>104545</v>
      </c>
      <c r="E300" t="s">
        <v>31</v>
      </c>
      <c r="F300" t="s">
        <v>14</v>
      </c>
      <c r="G300" t="s">
        <v>15</v>
      </c>
      <c r="H300">
        <v>1</v>
      </c>
      <c r="I300" t="s">
        <v>16</v>
      </c>
      <c r="J300" t="s">
        <v>24</v>
      </c>
      <c r="K300">
        <v>43</v>
      </c>
      <c r="L300" t="s">
        <v>30</v>
      </c>
      <c r="M300" t="s">
        <v>22</v>
      </c>
    </row>
    <row r="301" spans="1:13" x14ac:dyDescent="0.3">
      <c r="A301">
        <v>300</v>
      </c>
      <c r="B301" t="s">
        <v>40</v>
      </c>
      <c r="C301" t="s">
        <v>19</v>
      </c>
      <c r="D301">
        <v>81137</v>
      </c>
      <c r="E301" t="s">
        <v>20</v>
      </c>
      <c r="F301" t="s">
        <v>32</v>
      </c>
      <c r="G301" t="s">
        <v>22</v>
      </c>
      <c r="H301">
        <v>3</v>
      </c>
      <c r="I301" t="s">
        <v>27</v>
      </c>
      <c r="J301" t="s">
        <v>34</v>
      </c>
      <c r="K301">
        <v>25</v>
      </c>
      <c r="L301" t="s">
        <v>38</v>
      </c>
      <c r="M301" t="s">
        <v>15</v>
      </c>
    </row>
    <row r="302" spans="1:13" x14ac:dyDescent="0.3">
      <c r="A302">
        <v>301</v>
      </c>
      <c r="B302" t="s">
        <v>40</v>
      </c>
      <c r="C302" t="s">
        <v>12</v>
      </c>
      <c r="D302">
        <v>93360</v>
      </c>
      <c r="E302" t="s">
        <v>20</v>
      </c>
      <c r="F302" t="s">
        <v>14</v>
      </c>
      <c r="G302" t="s">
        <v>15</v>
      </c>
      <c r="H302">
        <v>0</v>
      </c>
      <c r="I302" t="s">
        <v>16</v>
      </c>
      <c r="J302" t="s">
        <v>17</v>
      </c>
      <c r="K302">
        <v>41</v>
      </c>
      <c r="L302" t="s">
        <v>30</v>
      </c>
      <c r="M302" t="s">
        <v>22</v>
      </c>
    </row>
    <row r="303" spans="1:13" x14ac:dyDescent="0.3">
      <c r="A303">
        <v>302</v>
      </c>
      <c r="B303" t="s">
        <v>40</v>
      </c>
      <c r="C303" t="s">
        <v>12</v>
      </c>
      <c r="D303">
        <v>81407</v>
      </c>
      <c r="E303" t="s">
        <v>31</v>
      </c>
      <c r="F303" t="s">
        <v>36</v>
      </c>
      <c r="G303" t="s">
        <v>22</v>
      </c>
      <c r="H303">
        <v>1</v>
      </c>
      <c r="I303" t="s">
        <v>23</v>
      </c>
      <c r="J303" t="s">
        <v>24</v>
      </c>
      <c r="K303">
        <v>42</v>
      </c>
      <c r="L303" t="s">
        <v>30</v>
      </c>
      <c r="M303" t="s">
        <v>22</v>
      </c>
    </row>
    <row r="304" spans="1:13" x14ac:dyDescent="0.3">
      <c r="A304">
        <v>303</v>
      </c>
      <c r="B304" t="s">
        <v>40</v>
      </c>
      <c r="C304" t="s">
        <v>12</v>
      </c>
      <c r="D304">
        <v>100585</v>
      </c>
      <c r="E304" t="s">
        <v>13</v>
      </c>
      <c r="F304" t="s">
        <v>35</v>
      </c>
      <c r="G304" t="s">
        <v>22</v>
      </c>
      <c r="H304">
        <v>2</v>
      </c>
      <c r="I304" t="s">
        <v>33</v>
      </c>
      <c r="J304" t="s">
        <v>34</v>
      </c>
      <c r="K304">
        <v>34</v>
      </c>
      <c r="L304" t="s">
        <v>18</v>
      </c>
      <c r="M304" t="s">
        <v>22</v>
      </c>
    </row>
    <row r="305" spans="1:13" x14ac:dyDescent="0.3">
      <c r="A305">
        <v>304</v>
      </c>
      <c r="B305" t="s">
        <v>40</v>
      </c>
      <c r="C305" t="s">
        <v>19</v>
      </c>
      <c r="D305">
        <v>56335</v>
      </c>
      <c r="E305" t="s">
        <v>20</v>
      </c>
      <c r="F305" t="s">
        <v>32</v>
      </c>
      <c r="G305" t="s">
        <v>22</v>
      </c>
      <c r="H305">
        <v>2</v>
      </c>
      <c r="I305" t="s">
        <v>23</v>
      </c>
      <c r="J305" t="s">
        <v>17</v>
      </c>
      <c r="K305">
        <v>59</v>
      </c>
      <c r="L305" t="s">
        <v>29</v>
      </c>
      <c r="M305" t="s">
        <v>15</v>
      </c>
    </row>
    <row r="306" spans="1:13" x14ac:dyDescent="0.3">
      <c r="A306">
        <v>305</v>
      </c>
      <c r="B306" t="s">
        <v>40</v>
      </c>
      <c r="C306" t="s">
        <v>12</v>
      </c>
      <c r="D306">
        <v>46800</v>
      </c>
      <c r="E306" t="s">
        <v>26</v>
      </c>
      <c r="F306" t="s">
        <v>36</v>
      </c>
      <c r="G306" t="s">
        <v>15</v>
      </c>
      <c r="H306">
        <v>1</v>
      </c>
      <c r="I306" t="s">
        <v>33</v>
      </c>
      <c r="J306" t="s">
        <v>24</v>
      </c>
      <c r="K306">
        <v>53</v>
      </c>
      <c r="L306" t="s">
        <v>29</v>
      </c>
      <c r="M306" t="s">
        <v>15</v>
      </c>
    </row>
    <row r="307" spans="1:13" x14ac:dyDescent="0.3">
      <c r="A307">
        <v>306</v>
      </c>
      <c r="B307" t="s">
        <v>40</v>
      </c>
      <c r="C307" t="s">
        <v>19</v>
      </c>
      <c r="D307">
        <v>81950</v>
      </c>
      <c r="E307" t="s">
        <v>20</v>
      </c>
      <c r="F307" t="s">
        <v>35</v>
      </c>
      <c r="G307" t="s">
        <v>15</v>
      </c>
      <c r="H307">
        <v>3</v>
      </c>
      <c r="I307" t="s">
        <v>23</v>
      </c>
      <c r="J307" t="s">
        <v>28</v>
      </c>
      <c r="K307">
        <v>44</v>
      </c>
      <c r="L307" t="s">
        <v>30</v>
      </c>
      <c r="M307" t="s">
        <v>15</v>
      </c>
    </row>
    <row r="308" spans="1:13" x14ac:dyDescent="0.3">
      <c r="A308">
        <v>307</v>
      </c>
      <c r="B308" t="s">
        <v>40</v>
      </c>
      <c r="C308" t="s">
        <v>12</v>
      </c>
      <c r="D308">
        <v>73674</v>
      </c>
      <c r="E308" t="s">
        <v>20</v>
      </c>
      <c r="F308" t="s">
        <v>32</v>
      </c>
      <c r="G308" t="s">
        <v>15</v>
      </c>
      <c r="H308">
        <v>0</v>
      </c>
      <c r="I308" t="s">
        <v>16</v>
      </c>
      <c r="J308" t="s">
        <v>34</v>
      </c>
      <c r="K308">
        <v>19</v>
      </c>
      <c r="L308" t="s">
        <v>25</v>
      </c>
      <c r="M308" t="s">
        <v>22</v>
      </c>
    </row>
    <row r="309" spans="1:13" x14ac:dyDescent="0.3">
      <c r="A309">
        <v>308</v>
      </c>
      <c r="B309" t="s">
        <v>40</v>
      </c>
      <c r="C309" t="s">
        <v>19</v>
      </c>
      <c r="D309">
        <v>24360</v>
      </c>
      <c r="E309" t="s">
        <v>20</v>
      </c>
      <c r="F309" t="s">
        <v>36</v>
      </c>
      <c r="G309" t="s">
        <v>22</v>
      </c>
      <c r="H309">
        <v>1</v>
      </c>
      <c r="I309" t="s">
        <v>23</v>
      </c>
      <c r="J309" t="s">
        <v>28</v>
      </c>
      <c r="K309">
        <v>59</v>
      </c>
      <c r="L309" t="s">
        <v>29</v>
      </c>
      <c r="M309" t="s">
        <v>15</v>
      </c>
    </row>
    <row r="310" spans="1:13" x14ac:dyDescent="0.3">
      <c r="A310">
        <v>309</v>
      </c>
      <c r="B310" t="s">
        <v>40</v>
      </c>
      <c r="C310" t="s">
        <v>12</v>
      </c>
      <c r="D310">
        <v>105344</v>
      </c>
      <c r="E310" t="s">
        <v>26</v>
      </c>
      <c r="F310" t="s">
        <v>21</v>
      </c>
      <c r="G310" t="s">
        <v>15</v>
      </c>
      <c r="H310">
        <v>0</v>
      </c>
      <c r="I310" t="s">
        <v>16</v>
      </c>
      <c r="J310" t="s">
        <v>17</v>
      </c>
      <c r="K310">
        <v>28</v>
      </c>
      <c r="L310" t="s">
        <v>38</v>
      </c>
      <c r="M310" t="s">
        <v>22</v>
      </c>
    </row>
    <row r="311" spans="1:13" x14ac:dyDescent="0.3">
      <c r="A311">
        <v>310</v>
      </c>
      <c r="B311" t="s">
        <v>40</v>
      </c>
      <c r="C311" t="s">
        <v>12</v>
      </c>
      <c r="D311">
        <v>36646</v>
      </c>
      <c r="E311" t="s">
        <v>31</v>
      </c>
      <c r="F311" t="s">
        <v>14</v>
      </c>
      <c r="G311" t="s">
        <v>22</v>
      </c>
      <c r="H311">
        <v>0</v>
      </c>
      <c r="I311" t="s">
        <v>37</v>
      </c>
      <c r="J311" t="s">
        <v>34</v>
      </c>
      <c r="K311">
        <v>40</v>
      </c>
      <c r="L311" t="s">
        <v>18</v>
      </c>
      <c r="M311" t="s">
        <v>15</v>
      </c>
    </row>
    <row r="312" spans="1:13" x14ac:dyDescent="0.3">
      <c r="A312">
        <v>311</v>
      </c>
      <c r="B312" t="s">
        <v>40</v>
      </c>
      <c r="C312" t="s">
        <v>12</v>
      </c>
      <c r="D312">
        <v>104127</v>
      </c>
      <c r="E312" t="s">
        <v>20</v>
      </c>
      <c r="F312" t="s">
        <v>35</v>
      </c>
      <c r="G312" t="s">
        <v>15</v>
      </c>
      <c r="H312">
        <v>1</v>
      </c>
      <c r="I312" t="s">
        <v>37</v>
      </c>
      <c r="J312" t="s">
        <v>24</v>
      </c>
      <c r="K312">
        <v>41</v>
      </c>
      <c r="L312" t="s">
        <v>30</v>
      </c>
      <c r="M312" t="s">
        <v>15</v>
      </c>
    </row>
    <row r="313" spans="1:13" x14ac:dyDescent="0.3">
      <c r="A313">
        <v>312</v>
      </c>
      <c r="B313" t="s">
        <v>40</v>
      </c>
      <c r="C313" t="s">
        <v>12</v>
      </c>
      <c r="D313">
        <v>89449</v>
      </c>
      <c r="E313" t="s">
        <v>31</v>
      </c>
      <c r="F313" t="s">
        <v>14</v>
      </c>
      <c r="G313" t="s">
        <v>22</v>
      </c>
      <c r="H313">
        <v>1</v>
      </c>
      <c r="I313" t="s">
        <v>37</v>
      </c>
      <c r="J313" t="s">
        <v>34</v>
      </c>
      <c r="K313">
        <v>35</v>
      </c>
      <c r="L313" t="s">
        <v>18</v>
      </c>
      <c r="M313" t="s">
        <v>15</v>
      </c>
    </row>
    <row r="314" spans="1:13" x14ac:dyDescent="0.3">
      <c r="A314">
        <v>313</v>
      </c>
      <c r="B314" t="s">
        <v>43</v>
      </c>
      <c r="C314" t="s">
        <v>19</v>
      </c>
      <c r="D314">
        <v>20716</v>
      </c>
      <c r="E314" t="s">
        <v>20</v>
      </c>
      <c r="F314" t="s">
        <v>14</v>
      </c>
      <c r="G314" t="s">
        <v>15</v>
      </c>
      <c r="H314">
        <v>2</v>
      </c>
      <c r="I314" t="s">
        <v>27</v>
      </c>
      <c r="J314" t="s">
        <v>34</v>
      </c>
      <c r="K314">
        <v>52</v>
      </c>
      <c r="L314" t="s">
        <v>29</v>
      </c>
      <c r="M314" t="s">
        <v>15</v>
      </c>
    </row>
    <row r="315" spans="1:13" x14ac:dyDescent="0.3">
      <c r="A315">
        <v>314</v>
      </c>
      <c r="B315" t="s">
        <v>43</v>
      </c>
      <c r="C315" t="s">
        <v>19</v>
      </c>
      <c r="D315">
        <v>25140</v>
      </c>
      <c r="E315" t="s">
        <v>20</v>
      </c>
      <c r="F315" t="s">
        <v>36</v>
      </c>
      <c r="G315" t="s">
        <v>15</v>
      </c>
      <c r="H315">
        <v>3</v>
      </c>
      <c r="I315" t="s">
        <v>23</v>
      </c>
      <c r="J315" t="s">
        <v>17</v>
      </c>
      <c r="K315">
        <v>32</v>
      </c>
      <c r="L315" t="s">
        <v>18</v>
      </c>
      <c r="M315" t="s">
        <v>15</v>
      </c>
    </row>
    <row r="316" spans="1:13" x14ac:dyDescent="0.3">
      <c r="A316">
        <v>315</v>
      </c>
      <c r="B316" t="s">
        <v>43</v>
      </c>
      <c r="C316" t="s">
        <v>12</v>
      </c>
      <c r="D316">
        <v>53990</v>
      </c>
      <c r="E316" t="s">
        <v>26</v>
      </c>
      <c r="F316" t="s">
        <v>35</v>
      </c>
      <c r="G316" t="s">
        <v>22</v>
      </c>
      <c r="H316">
        <v>1</v>
      </c>
      <c r="I316" t="s">
        <v>16</v>
      </c>
      <c r="J316" t="s">
        <v>24</v>
      </c>
      <c r="K316">
        <v>21</v>
      </c>
      <c r="L316" t="s">
        <v>38</v>
      </c>
      <c r="M316" t="s">
        <v>15</v>
      </c>
    </row>
    <row r="317" spans="1:13" x14ac:dyDescent="0.3">
      <c r="A317">
        <v>316</v>
      </c>
      <c r="B317" t="s">
        <v>43</v>
      </c>
      <c r="C317" t="s">
        <v>12</v>
      </c>
      <c r="D317">
        <v>90173</v>
      </c>
      <c r="E317" t="s">
        <v>20</v>
      </c>
      <c r="F317" t="s">
        <v>36</v>
      </c>
      <c r="G317" t="s">
        <v>22</v>
      </c>
      <c r="H317">
        <v>3</v>
      </c>
      <c r="I317" t="s">
        <v>37</v>
      </c>
      <c r="J317" t="s">
        <v>24</v>
      </c>
      <c r="K317">
        <v>47</v>
      </c>
      <c r="L317" t="s">
        <v>30</v>
      </c>
      <c r="M317" t="s">
        <v>15</v>
      </c>
    </row>
    <row r="318" spans="1:13" x14ac:dyDescent="0.3">
      <c r="A318">
        <v>317</v>
      </c>
      <c r="B318" t="s">
        <v>43</v>
      </c>
      <c r="C318" t="s">
        <v>12</v>
      </c>
      <c r="D318">
        <v>99962</v>
      </c>
      <c r="E318" t="s">
        <v>20</v>
      </c>
      <c r="F318" t="s">
        <v>35</v>
      </c>
      <c r="G318" t="s">
        <v>22</v>
      </c>
      <c r="H318">
        <v>3</v>
      </c>
      <c r="I318" t="s">
        <v>37</v>
      </c>
      <c r="J318" t="s">
        <v>34</v>
      </c>
      <c r="K318">
        <v>37</v>
      </c>
      <c r="L318" t="s">
        <v>18</v>
      </c>
      <c r="M318" t="s">
        <v>15</v>
      </c>
    </row>
    <row r="319" spans="1:13" x14ac:dyDescent="0.3">
      <c r="A319">
        <v>318</v>
      </c>
      <c r="B319" t="s">
        <v>43</v>
      </c>
      <c r="C319" t="s">
        <v>12</v>
      </c>
      <c r="D319">
        <v>47959</v>
      </c>
      <c r="E319" t="s">
        <v>13</v>
      </c>
      <c r="F319" t="s">
        <v>36</v>
      </c>
      <c r="G319" t="s">
        <v>15</v>
      </c>
      <c r="H319">
        <v>1</v>
      </c>
      <c r="I319" t="s">
        <v>16</v>
      </c>
      <c r="J319" t="s">
        <v>34</v>
      </c>
      <c r="K319">
        <v>56</v>
      </c>
      <c r="L319" t="s">
        <v>29</v>
      </c>
      <c r="M319" t="s">
        <v>15</v>
      </c>
    </row>
    <row r="320" spans="1:13" x14ac:dyDescent="0.3">
      <c r="A320">
        <v>319</v>
      </c>
      <c r="B320" t="s">
        <v>40</v>
      </c>
      <c r="C320" t="s">
        <v>12</v>
      </c>
      <c r="D320">
        <v>73798</v>
      </c>
      <c r="E320" t="s">
        <v>20</v>
      </c>
      <c r="F320" t="s">
        <v>14</v>
      </c>
      <c r="G320" t="s">
        <v>15</v>
      </c>
      <c r="H320">
        <v>1</v>
      </c>
      <c r="I320" t="s">
        <v>33</v>
      </c>
      <c r="J320" t="s">
        <v>17</v>
      </c>
      <c r="K320">
        <v>37</v>
      </c>
      <c r="L320" t="s">
        <v>18</v>
      </c>
      <c r="M320" t="s">
        <v>22</v>
      </c>
    </row>
    <row r="321" spans="1:13" x14ac:dyDescent="0.3">
      <c r="A321">
        <v>320</v>
      </c>
      <c r="B321" t="s">
        <v>40</v>
      </c>
      <c r="C321" t="s">
        <v>19</v>
      </c>
      <c r="D321">
        <v>116897</v>
      </c>
      <c r="E321" t="s">
        <v>13</v>
      </c>
      <c r="F321" t="s">
        <v>36</v>
      </c>
      <c r="G321" t="s">
        <v>22</v>
      </c>
      <c r="H321">
        <v>1</v>
      </c>
      <c r="I321" t="s">
        <v>23</v>
      </c>
      <c r="J321" t="s">
        <v>34</v>
      </c>
      <c r="K321">
        <v>47</v>
      </c>
      <c r="L321" t="s">
        <v>30</v>
      </c>
      <c r="M321" t="s">
        <v>15</v>
      </c>
    </row>
    <row r="322" spans="1:13" x14ac:dyDescent="0.3">
      <c r="A322">
        <v>321</v>
      </c>
      <c r="B322" t="s">
        <v>40</v>
      </c>
      <c r="C322" t="s">
        <v>19</v>
      </c>
      <c r="D322">
        <v>61611</v>
      </c>
      <c r="E322" t="s">
        <v>26</v>
      </c>
      <c r="F322" t="s">
        <v>21</v>
      </c>
      <c r="G322" t="s">
        <v>22</v>
      </c>
      <c r="H322">
        <v>3</v>
      </c>
      <c r="I322" t="s">
        <v>37</v>
      </c>
      <c r="J322" t="s">
        <v>17</v>
      </c>
      <c r="K322">
        <v>33</v>
      </c>
      <c r="L322" t="s">
        <v>18</v>
      </c>
      <c r="M322" t="s">
        <v>15</v>
      </c>
    </row>
    <row r="323" spans="1:13" x14ac:dyDescent="0.3">
      <c r="A323">
        <v>322</v>
      </c>
      <c r="B323" t="s">
        <v>40</v>
      </c>
      <c r="C323" t="s">
        <v>19</v>
      </c>
      <c r="D323">
        <v>88392</v>
      </c>
      <c r="E323" t="s">
        <v>20</v>
      </c>
      <c r="F323" t="s">
        <v>35</v>
      </c>
      <c r="G323" t="s">
        <v>15</v>
      </c>
      <c r="H323">
        <v>2</v>
      </c>
      <c r="I323" t="s">
        <v>33</v>
      </c>
      <c r="J323" t="s">
        <v>34</v>
      </c>
      <c r="K323">
        <v>52</v>
      </c>
      <c r="L323" t="s">
        <v>29</v>
      </c>
      <c r="M323" t="s">
        <v>15</v>
      </c>
    </row>
    <row r="324" spans="1:13" x14ac:dyDescent="0.3">
      <c r="A324">
        <v>323</v>
      </c>
      <c r="B324" t="s">
        <v>40</v>
      </c>
      <c r="C324" t="s">
        <v>19</v>
      </c>
      <c r="D324">
        <v>82434</v>
      </c>
      <c r="E324" t="s">
        <v>20</v>
      </c>
      <c r="F324" t="s">
        <v>36</v>
      </c>
      <c r="G324" t="s">
        <v>15</v>
      </c>
      <c r="H324">
        <v>0</v>
      </c>
      <c r="I324" t="s">
        <v>23</v>
      </c>
      <c r="J324" t="s">
        <v>28</v>
      </c>
      <c r="K324">
        <v>31</v>
      </c>
      <c r="L324" t="s">
        <v>18</v>
      </c>
      <c r="M324" t="s">
        <v>22</v>
      </c>
    </row>
    <row r="325" spans="1:13" x14ac:dyDescent="0.3">
      <c r="A325">
        <v>324</v>
      </c>
      <c r="B325" t="s">
        <v>40</v>
      </c>
      <c r="C325" t="s">
        <v>12</v>
      </c>
      <c r="D325">
        <v>26399</v>
      </c>
      <c r="E325" t="s">
        <v>20</v>
      </c>
      <c r="F325" t="s">
        <v>21</v>
      </c>
      <c r="G325" t="s">
        <v>15</v>
      </c>
      <c r="H325">
        <v>2</v>
      </c>
      <c r="I325" t="s">
        <v>27</v>
      </c>
      <c r="J325" t="s">
        <v>34</v>
      </c>
      <c r="K325">
        <v>35</v>
      </c>
      <c r="L325" t="s">
        <v>18</v>
      </c>
      <c r="M325" t="s">
        <v>15</v>
      </c>
    </row>
    <row r="326" spans="1:13" x14ac:dyDescent="0.3">
      <c r="A326">
        <v>325</v>
      </c>
      <c r="B326" t="s">
        <v>40</v>
      </c>
      <c r="C326" t="s">
        <v>19</v>
      </c>
      <c r="D326">
        <v>29675</v>
      </c>
      <c r="E326" t="s">
        <v>13</v>
      </c>
      <c r="F326" t="s">
        <v>35</v>
      </c>
      <c r="G326" t="s">
        <v>22</v>
      </c>
      <c r="H326">
        <v>1</v>
      </c>
      <c r="I326" t="s">
        <v>37</v>
      </c>
      <c r="J326" t="s">
        <v>24</v>
      </c>
      <c r="K326">
        <v>44</v>
      </c>
      <c r="L326" t="s">
        <v>30</v>
      </c>
      <c r="M326" t="s">
        <v>15</v>
      </c>
    </row>
    <row r="327" spans="1:13" x14ac:dyDescent="0.3">
      <c r="A327">
        <v>326</v>
      </c>
      <c r="B327" t="s">
        <v>41</v>
      </c>
      <c r="C327" t="s">
        <v>19</v>
      </c>
      <c r="D327">
        <v>79211</v>
      </c>
      <c r="E327" t="s">
        <v>26</v>
      </c>
      <c r="F327" t="s">
        <v>35</v>
      </c>
      <c r="G327" t="s">
        <v>22</v>
      </c>
      <c r="H327">
        <v>2</v>
      </c>
      <c r="I327" t="s">
        <v>33</v>
      </c>
      <c r="J327" t="s">
        <v>24</v>
      </c>
      <c r="K327">
        <v>31</v>
      </c>
      <c r="L327" t="s">
        <v>18</v>
      </c>
      <c r="M327" t="s">
        <v>22</v>
      </c>
    </row>
    <row r="328" spans="1:13" x14ac:dyDescent="0.3">
      <c r="A328">
        <v>327</v>
      </c>
      <c r="B328" t="s">
        <v>41</v>
      </c>
      <c r="C328" t="s">
        <v>19</v>
      </c>
      <c r="D328">
        <v>110647</v>
      </c>
      <c r="E328" t="s">
        <v>31</v>
      </c>
      <c r="F328" t="s">
        <v>21</v>
      </c>
      <c r="G328" t="s">
        <v>22</v>
      </c>
      <c r="H328">
        <v>0</v>
      </c>
      <c r="I328" t="s">
        <v>37</v>
      </c>
      <c r="J328" t="s">
        <v>28</v>
      </c>
      <c r="K328">
        <v>36</v>
      </c>
      <c r="L328" t="s">
        <v>18</v>
      </c>
      <c r="M328" t="s">
        <v>15</v>
      </c>
    </row>
    <row r="329" spans="1:13" x14ac:dyDescent="0.3">
      <c r="A329">
        <v>328</v>
      </c>
      <c r="B329" t="s">
        <v>41</v>
      </c>
      <c r="C329" t="s">
        <v>19</v>
      </c>
      <c r="D329">
        <v>118149</v>
      </c>
      <c r="E329" t="s">
        <v>20</v>
      </c>
      <c r="F329" t="s">
        <v>35</v>
      </c>
      <c r="G329" t="s">
        <v>22</v>
      </c>
      <c r="H329">
        <v>1</v>
      </c>
      <c r="I329" t="s">
        <v>16</v>
      </c>
      <c r="J329" t="s">
        <v>34</v>
      </c>
      <c r="K329">
        <v>22</v>
      </c>
      <c r="L329" t="s">
        <v>38</v>
      </c>
      <c r="M329" t="s">
        <v>15</v>
      </c>
    </row>
    <row r="330" spans="1:13" x14ac:dyDescent="0.3">
      <c r="A330">
        <v>329</v>
      </c>
      <c r="B330" t="s">
        <v>41</v>
      </c>
      <c r="C330" t="s">
        <v>12</v>
      </c>
      <c r="D330">
        <v>36666</v>
      </c>
      <c r="E330" t="s">
        <v>13</v>
      </c>
      <c r="F330" t="s">
        <v>14</v>
      </c>
      <c r="G330" t="s">
        <v>22</v>
      </c>
      <c r="H330">
        <v>0</v>
      </c>
      <c r="I330" t="s">
        <v>23</v>
      </c>
      <c r="J330" t="s">
        <v>24</v>
      </c>
      <c r="K330">
        <v>48</v>
      </c>
      <c r="L330" t="s">
        <v>30</v>
      </c>
      <c r="M330" t="s">
        <v>15</v>
      </c>
    </row>
    <row r="331" spans="1:13" x14ac:dyDescent="0.3">
      <c r="A331">
        <v>330</v>
      </c>
      <c r="B331" t="s">
        <v>41</v>
      </c>
      <c r="C331" t="s">
        <v>19</v>
      </c>
      <c r="D331">
        <v>80267</v>
      </c>
      <c r="E331" t="s">
        <v>26</v>
      </c>
      <c r="F331" t="s">
        <v>35</v>
      </c>
      <c r="G331" t="s">
        <v>22</v>
      </c>
      <c r="H331">
        <v>2</v>
      </c>
      <c r="I331" t="s">
        <v>27</v>
      </c>
      <c r="J331" t="s">
        <v>28</v>
      </c>
      <c r="K331">
        <v>36</v>
      </c>
      <c r="L331" t="s">
        <v>18</v>
      </c>
      <c r="M331" t="s">
        <v>22</v>
      </c>
    </row>
    <row r="332" spans="1:13" x14ac:dyDescent="0.3">
      <c r="A332">
        <v>331</v>
      </c>
      <c r="B332" t="s">
        <v>41</v>
      </c>
      <c r="C332" t="s">
        <v>12</v>
      </c>
      <c r="D332">
        <v>104234</v>
      </c>
      <c r="E332" t="s">
        <v>31</v>
      </c>
      <c r="F332" t="s">
        <v>14</v>
      </c>
      <c r="G332" t="s">
        <v>22</v>
      </c>
      <c r="H332">
        <v>0</v>
      </c>
      <c r="I332" t="s">
        <v>16</v>
      </c>
      <c r="J332" t="s">
        <v>34</v>
      </c>
      <c r="K332">
        <v>60</v>
      </c>
      <c r="L332" t="s">
        <v>29</v>
      </c>
      <c r="M332" t="s">
        <v>15</v>
      </c>
    </row>
    <row r="333" spans="1:13" x14ac:dyDescent="0.3">
      <c r="A333">
        <v>332</v>
      </c>
      <c r="B333" t="s">
        <v>41</v>
      </c>
      <c r="C333" t="s">
        <v>19</v>
      </c>
      <c r="D333">
        <v>67763</v>
      </c>
      <c r="E333" t="s">
        <v>26</v>
      </c>
      <c r="F333" t="s">
        <v>32</v>
      </c>
      <c r="G333" t="s">
        <v>22</v>
      </c>
      <c r="H333">
        <v>3</v>
      </c>
      <c r="I333" t="s">
        <v>33</v>
      </c>
      <c r="J333" t="s">
        <v>17</v>
      </c>
      <c r="K333">
        <v>24</v>
      </c>
      <c r="L333" t="s">
        <v>38</v>
      </c>
      <c r="M333" t="s">
        <v>15</v>
      </c>
    </row>
    <row r="334" spans="1:13" x14ac:dyDescent="0.3">
      <c r="A334">
        <v>333</v>
      </c>
      <c r="B334" t="s">
        <v>40</v>
      </c>
      <c r="C334" t="s">
        <v>12</v>
      </c>
      <c r="D334">
        <v>61918</v>
      </c>
      <c r="E334" t="s">
        <v>26</v>
      </c>
      <c r="F334" t="s">
        <v>35</v>
      </c>
      <c r="G334" t="s">
        <v>22</v>
      </c>
      <c r="H334">
        <v>3</v>
      </c>
      <c r="I334" t="s">
        <v>37</v>
      </c>
      <c r="J334" t="s">
        <v>17</v>
      </c>
      <c r="K334">
        <v>27</v>
      </c>
      <c r="L334" t="s">
        <v>38</v>
      </c>
      <c r="M334" t="s">
        <v>15</v>
      </c>
    </row>
    <row r="335" spans="1:13" x14ac:dyDescent="0.3">
      <c r="A335">
        <v>334</v>
      </c>
      <c r="B335" t="s">
        <v>41</v>
      </c>
      <c r="C335" t="s">
        <v>12</v>
      </c>
      <c r="D335">
        <v>68972</v>
      </c>
      <c r="E335" t="s">
        <v>20</v>
      </c>
      <c r="F335" t="s">
        <v>35</v>
      </c>
      <c r="G335" t="s">
        <v>22</v>
      </c>
      <c r="H335">
        <v>2</v>
      </c>
      <c r="I335" t="s">
        <v>16</v>
      </c>
      <c r="J335" t="s">
        <v>17</v>
      </c>
      <c r="K335">
        <v>49</v>
      </c>
      <c r="L335" t="s">
        <v>30</v>
      </c>
      <c r="M335" t="s">
        <v>15</v>
      </c>
    </row>
    <row r="336" spans="1:13" x14ac:dyDescent="0.3">
      <c r="A336">
        <v>335</v>
      </c>
      <c r="B336" t="s">
        <v>41</v>
      </c>
      <c r="C336" t="s">
        <v>12</v>
      </c>
      <c r="D336">
        <v>59130</v>
      </c>
      <c r="E336" t="s">
        <v>26</v>
      </c>
      <c r="F336" t="s">
        <v>21</v>
      </c>
      <c r="G336" t="s">
        <v>22</v>
      </c>
      <c r="H336">
        <v>3</v>
      </c>
      <c r="I336" t="s">
        <v>23</v>
      </c>
      <c r="J336" t="s">
        <v>28</v>
      </c>
      <c r="K336">
        <v>37</v>
      </c>
      <c r="L336" t="s">
        <v>18</v>
      </c>
      <c r="M336" t="s">
        <v>15</v>
      </c>
    </row>
    <row r="337" spans="1:13" x14ac:dyDescent="0.3">
      <c r="A337">
        <v>336</v>
      </c>
      <c r="B337" t="s">
        <v>40</v>
      </c>
      <c r="C337" t="s">
        <v>12</v>
      </c>
      <c r="D337">
        <v>68080</v>
      </c>
      <c r="E337" t="s">
        <v>26</v>
      </c>
      <c r="F337" t="s">
        <v>14</v>
      </c>
      <c r="G337" t="s">
        <v>15</v>
      </c>
      <c r="H337">
        <v>1</v>
      </c>
      <c r="I337" t="s">
        <v>16</v>
      </c>
      <c r="J337" t="s">
        <v>28</v>
      </c>
      <c r="K337">
        <v>32</v>
      </c>
      <c r="L337" t="s">
        <v>18</v>
      </c>
      <c r="M337" t="s">
        <v>15</v>
      </c>
    </row>
    <row r="338" spans="1:13" x14ac:dyDescent="0.3">
      <c r="A338">
        <v>337</v>
      </c>
      <c r="B338" t="s">
        <v>41</v>
      </c>
      <c r="C338" t="s">
        <v>12</v>
      </c>
      <c r="D338">
        <v>90962</v>
      </c>
      <c r="E338" t="s">
        <v>26</v>
      </c>
      <c r="F338" t="s">
        <v>35</v>
      </c>
      <c r="G338" t="s">
        <v>15</v>
      </c>
      <c r="H338">
        <v>3</v>
      </c>
      <c r="I338" t="s">
        <v>27</v>
      </c>
      <c r="J338" t="s">
        <v>28</v>
      </c>
      <c r="K338">
        <v>37</v>
      </c>
      <c r="L338" t="s">
        <v>18</v>
      </c>
      <c r="M338" t="s">
        <v>15</v>
      </c>
    </row>
    <row r="339" spans="1:13" x14ac:dyDescent="0.3">
      <c r="A339">
        <v>338</v>
      </c>
      <c r="B339" t="s">
        <v>41</v>
      </c>
      <c r="C339" t="s">
        <v>19</v>
      </c>
      <c r="D339">
        <v>99536</v>
      </c>
      <c r="E339" t="s">
        <v>20</v>
      </c>
      <c r="F339" t="s">
        <v>36</v>
      </c>
      <c r="G339" t="s">
        <v>15</v>
      </c>
      <c r="H339">
        <v>1</v>
      </c>
      <c r="I339" t="s">
        <v>16</v>
      </c>
      <c r="J339" t="s">
        <v>34</v>
      </c>
      <c r="K339">
        <v>20</v>
      </c>
      <c r="L339" t="s">
        <v>25</v>
      </c>
      <c r="M339" t="s">
        <v>15</v>
      </c>
    </row>
    <row r="340" spans="1:13" x14ac:dyDescent="0.3">
      <c r="A340">
        <v>339</v>
      </c>
      <c r="B340" t="s">
        <v>41</v>
      </c>
      <c r="C340" t="s">
        <v>12</v>
      </c>
      <c r="D340">
        <v>21991</v>
      </c>
      <c r="E340" t="s">
        <v>26</v>
      </c>
      <c r="F340" t="s">
        <v>36</v>
      </c>
      <c r="G340" t="s">
        <v>22</v>
      </c>
      <c r="H340">
        <v>1</v>
      </c>
      <c r="I340" t="s">
        <v>27</v>
      </c>
      <c r="J340" t="s">
        <v>24</v>
      </c>
      <c r="K340">
        <v>60</v>
      </c>
      <c r="L340" t="s">
        <v>29</v>
      </c>
      <c r="M340" t="s">
        <v>15</v>
      </c>
    </row>
    <row r="341" spans="1:13" x14ac:dyDescent="0.3">
      <c r="A341">
        <v>340</v>
      </c>
      <c r="B341" t="s">
        <v>41</v>
      </c>
      <c r="C341" t="s">
        <v>12</v>
      </c>
      <c r="D341">
        <v>118650</v>
      </c>
      <c r="E341" t="s">
        <v>31</v>
      </c>
      <c r="F341" t="s">
        <v>36</v>
      </c>
      <c r="G341" t="s">
        <v>15</v>
      </c>
      <c r="H341">
        <v>2</v>
      </c>
      <c r="I341" t="s">
        <v>33</v>
      </c>
      <c r="J341" t="s">
        <v>34</v>
      </c>
      <c r="K341">
        <v>50</v>
      </c>
      <c r="L341" t="s">
        <v>30</v>
      </c>
      <c r="M341" t="s">
        <v>15</v>
      </c>
    </row>
    <row r="342" spans="1:13" x14ac:dyDescent="0.3">
      <c r="A342">
        <v>341</v>
      </c>
      <c r="B342" t="s">
        <v>40</v>
      </c>
      <c r="C342" t="s">
        <v>12</v>
      </c>
      <c r="D342">
        <v>37589</v>
      </c>
      <c r="E342" t="s">
        <v>13</v>
      </c>
      <c r="F342" t="s">
        <v>32</v>
      </c>
      <c r="G342" t="s">
        <v>15</v>
      </c>
      <c r="H342">
        <v>3</v>
      </c>
      <c r="I342" t="s">
        <v>16</v>
      </c>
      <c r="J342" t="s">
        <v>28</v>
      </c>
      <c r="K342">
        <v>46</v>
      </c>
      <c r="L342" t="s">
        <v>30</v>
      </c>
      <c r="M342" t="s">
        <v>15</v>
      </c>
    </row>
    <row r="343" spans="1:13" x14ac:dyDescent="0.3">
      <c r="A343">
        <v>342</v>
      </c>
      <c r="B343" t="s">
        <v>40</v>
      </c>
      <c r="C343" t="s">
        <v>19</v>
      </c>
      <c r="D343">
        <v>25282</v>
      </c>
      <c r="E343" t="s">
        <v>26</v>
      </c>
      <c r="F343" t="s">
        <v>14</v>
      </c>
      <c r="G343" t="s">
        <v>15</v>
      </c>
      <c r="H343">
        <v>1</v>
      </c>
      <c r="I343" t="s">
        <v>33</v>
      </c>
      <c r="J343" t="s">
        <v>34</v>
      </c>
      <c r="K343">
        <v>48</v>
      </c>
      <c r="L343" t="s">
        <v>30</v>
      </c>
      <c r="M343" t="s">
        <v>15</v>
      </c>
    </row>
    <row r="344" spans="1:13" x14ac:dyDescent="0.3">
      <c r="A344">
        <v>343</v>
      </c>
      <c r="B344" t="s">
        <v>41</v>
      </c>
      <c r="C344" t="s">
        <v>19</v>
      </c>
      <c r="D344">
        <v>48350</v>
      </c>
      <c r="E344" t="s">
        <v>20</v>
      </c>
      <c r="F344" t="s">
        <v>36</v>
      </c>
      <c r="G344" t="s">
        <v>22</v>
      </c>
      <c r="H344">
        <v>2</v>
      </c>
      <c r="I344" t="s">
        <v>23</v>
      </c>
      <c r="J344" t="s">
        <v>17</v>
      </c>
      <c r="K344">
        <v>23</v>
      </c>
      <c r="L344" t="s">
        <v>38</v>
      </c>
      <c r="M344" t="s">
        <v>22</v>
      </c>
    </row>
    <row r="345" spans="1:13" x14ac:dyDescent="0.3">
      <c r="A345">
        <v>344</v>
      </c>
      <c r="B345" t="s">
        <v>41</v>
      </c>
      <c r="C345" t="s">
        <v>19</v>
      </c>
      <c r="D345">
        <v>30381</v>
      </c>
      <c r="E345" t="s">
        <v>13</v>
      </c>
      <c r="F345" t="s">
        <v>32</v>
      </c>
      <c r="G345" t="s">
        <v>22</v>
      </c>
      <c r="H345">
        <v>3</v>
      </c>
      <c r="I345" t="s">
        <v>16</v>
      </c>
      <c r="J345" t="s">
        <v>17</v>
      </c>
      <c r="K345">
        <v>52</v>
      </c>
      <c r="L345" t="s">
        <v>29</v>
      </c>
      <c r="M345" t="s">
        <v>15</v>
      </c>
    </row>
    <row r="346" spans="1:13" x14ac:dyDescent="0.3">
      <c r="A346">
        <v>345</v>
      </c>
      <c r="B346" t="s">
        <v>41</v>
      </c>
      <c r="C346" t="s">
        <v>19</v>
      </c>
      <c r="D346">
        <v>22447</v>
      </c>
      <c r="E346" t="s">
        <v>31</v>
      </c>
      <c r="F346" t="s">
        <v>32</v>
      </c>
      <c r="G346" t="s">
        <v>15</v>
      </c>
      <c r="H346">
        <v>2</v>
      </c>
      <c r="I346" t="s">
        <v>37</v>
      </c>
      <c r="J346" t="s">
        <v>34</v>
      </c>
      <c r="K346">
        <v>60</v>
      </c>
      <c r="L346" t="s">
        <v>29</v>
      </c>
      <c r="M346" t="s">
        <v>15</v>
      </c>
    </row>
    <row r="347" spans="1:13" x14ac:dyDescent="0.3">
      <c r="A347">
        <v>346</v>
      </c>
      <c r="B347" t="s">
        <v>41</v>
      </c>
      <c r="C347" t="s">
        <v>19</v>
      </c>
      <c r="D347">
        <v>79978</v>
      </c>
      <c r="E347" t="s">
        <v>20</v>
      </c>
      <c r="F347" t="s">
        <v>35</v>
      </c>
      <c r="G347" t="s">
        <v>15</v>
      </c>
      <c r="H347">
        <v>3</v>
      </c>
      <c r="I347" t="s">
        <v>27</v>
      </c>
      <c r="J347" t="s">
        <v>28</v>
      </c>
      <c r="K347">
        <v>49</v>
      </c>
      <c r="L347" t="s">
        <v>30</v>
      </c>
      <c r="M347" t="s">
        <v>15</v>
      </c>
    </row>
    <row r="348" spans="1:13" x14ac:dyDescent="0.3">
      <c r="A348">
        <v>347</v>
      </c>
      <c r="B348" t="s">
        <v>41</v>
      </c>
      <c r="C348" t="s">
        <v>12</v>
      </c>
      <c r="D348">
        <v>63160</v>
      </c>
      <c r="E348" t="s">
        <v>31</v>
      </c>
      <c r="F348" t="s">
        <v>21</v>
      </c>
      <c r="G348" t="s">
        <v>22</v>
      </c>
      <c r="H348">
        <v>2</v>
      </c>
      <c r="I348" t="s">
        <v>16</v>
      </c>
      <c r="J348" t="s">
        <v>28</v>
      </c>
      <c r="K348">
        <v>19</v>
      </c>
      <c r="L348" t="s">
        <v>25</v>
      </c>
      <c r="M348" t="s">
        <v>22</v>
      </c>
    </row>
    <row r="349" spans="1:13" x14ac:dyDescent="0.3">
      <c r="A349">
        <v>348</v>
      </c>
      <c r="B349" t="s">
        <v>41</v>
      </c>
      <c r="C349" t="s">
        <v>12</v>
      </c>
      <c r="D349">
        <v>68809</v>
      </c>
      <c r="E349" t="s">
        <v>13</v>
      </c>
      <c r="F349" t="s">
        <v>35</v>
      </c>
      <c r="G349" t="s">
        <v>22</v>
      </c>
      <c r="H349">
        <v>0</v>
      </c>
      <c r="I349" t="s">
        <v>23</v>
      </c>
      <c r="J349" t="s">
        <v>17</v>
      </c>
      <c r="K349">
        <v>55</v>
      </c>
      <c r="L349" t="s">
        <v>29</v>
      </c>
      <c r="M349" t="s">
        <v>15</v>
      </c>
    </row>
    <row r="350" spans="1:13" x14ac:dyDescent="0.3">
      <c r="A350">
        <v>349</v>
      </c>
      <c r="B350" t="s">
        <v>41</v>
      </c>
      <c r="C350" t="s">
        <v>12</v>
      </c>
      <c r="D350">
        <v>27060</v>
      </c>
      <c r="E350" t="s">
        <v>13</v>
      </c>
      <c r="F350" t="s">
        <v>21</v>
      </c>
      <c r="G350" t="s">
        <v>22</v>
      </c>
      <c r="H350">
        <v>0</v>
      </c>
      <c r="I350" t="s">
        <v>23</v>
      </c>
      <c r="J350" t="s">
        <v>17</v>
      </c>
      <c r="K350">
        <v>41</v>
      </c>
      <c r="L350" t="s">
        <v>30</v>
      </c>
      <c r="M350" t="s">
        <v>15</v>
      </c>
    </row>
    <row r="351" spans="1:13" x14ac:dyDescent="0.3">
      <c r="A351">
        <v>350</v>
      </c>
      <c r="B351" t="s">
        <v>41</v>
      </c>
      <c r="C351" t="s">
        <v>19</v>
      </c>
      <c r="D351">
        <v>37315</v>
      </c>
      <c r="E351" t="s">
        <v>26</v>
      </c>
      <c r="F351" t="s">
        <v>14</v>
      </c>
      <c r="G351" t="s">
        <v>22</v>
      </c>
      <c r="H351">
        <v>3</v>
      </c>
      <c r="I351" t="s">
        <v>16</v>
      </c>
      <c r="J351" t="s">
        <v>17</v>
      </c>
      <c r="K351">
        <v>20</v>
      </c>
      <c r="L351" t="s">
        <v>25</v>
      </c>
      <c r="M351" t="s">
        <v>15</v>
      </c>
    </row>
    <row r="352" spans="1:13" x14ac:dyDescent="0.3">
      <c r="A352">
        <v>351</v>
      </c>
      <c r="B352" t="s">
        <v>40</v>
      </c>
      <c r="C352" t="s">
        <v>12</v>
      </c>
      <c r="D352">
        <v>50230</v>
      </c>
      <c r="E352" t="s">
        <v>31</v>
      </c>
      <c r="F352" t="s">
        <v>32</v>
      </c>
      <c r="G352" t="s">
        <v>15</v>
      </c>
      <c r="H352">
        <v>2</v>
      </c>
      <c r="I352" t="s">
        <v>23</v>
      </c>
      <c r="J352" t="s">
        <v>17</v>
      </c>
      <c r="K352">
        <v>41</v>
      </c>
      <c r="L352" t="s">
        <v>30</v>
      </c>
      <c r="M352" t="s">
        <v>22</v>
      </c>
    </row>
    <row r="353" spans="1:13" x14ac:dyDescent="0.3">
      <c r="A353">
        <v>352</v>
      </c>
      <c r="B353" t="s">
        <v>41</v>
      </c>
      <c r="C353" t="s">
        <v>12</v>
      </c>
      <c r="D353">
        <v>114222</v>
      </c>
      <c r="E353" t="s">
        <v>31</v>
      </c>
      <c r="F353" t="s">
        <v>14</v>
      </c>
      <c r="G353" t="s">
        <v>15</v>
      </c>
      <c r="H353">
        <v>3</v>
      </c>
      <c r="I353" t="s">
        <v>16</v>
      </c>
      <c r="J353" t="s">
        <v>17</v>
      </c>
      <c r="K353">
        <v>37</v>
      </c>
      <c r="L353" t="s">
        <v>18</v>
      </c>
      <c r="M353" t="s">
        <v>15</v>
      </c>
    </row>
    <row r="354" spans="1:13" x14ac:dyDescent="0.3">
      <c r="A354">
        <v>353</v>
      </c>
      <c r="B354" t="s">
        <v>41</v>
      </c>
      <c r="C354" t="s">
        <v>12</v>
      </c>
      <c r="D354">
        <v>103260</v>
      </c>
      <c r="E354" t="s">
        <v>13</v>
      </c>
      <c r="F354" t="s">
        <v>36</v>
      </c>
      <c r="G354" t="s">
        <v>15</v>
      </c>
      <c r="H354">
        <v>2</v>
      </c>
      <c r="I354" t="s">
        <v>23</v>
      </c>
      <c r="J354" t="s">
        <v>17</v>
      </c>
      <c r="K354">
        <v>49</v>
      </c>
      <c r="L354" t="s">
        <v>30</v>
      </c>
      <c r="M354" t="s">
        <v>15</v>
      </c>
    </row>
    <row r="355" spans="1:13" x14ac:dyDescent="0.3">
      <c r="A355">
        <v>354</v>
      </c>
      <c r="B355" t="s">
        <v>41</v>
      </c>
      <c r="C355" t="s">
        <v>12</v>
      </c>
      <c r="D355">
        <v>96677</v>
      </c>
      <c r="E355" t="s">
        <v>13</v>
      </c>
      <c r="F355" t="s">
        <v>14</v>
      </c>
      <c r="G355" t="s">
        <v>15</v>
      </c>
      <c r="H355">
        <v>3</v>
      </c>
      <c r="I355" t="s">
        <v>33</v>
      </c>
      <c r="J355" t="s">
        <v>28</v>
      </c>
      <c r="K355">
        <v>20</v>
      </c>
      <c r="L355" t="s">
        <v>25</v>
      </c>
      <c r="M355" t="s">
        <v>15</v>
      </c>
    </row>
    <row r="356" spans="1:13" x14ac:dyDescent="0.3">
      <c r="A356">
        <v>355</v>
      </c>
      <c r="B356" t="s">
        <v>41</v>
      </c>
      <c r="C356" t="s">
        <v>12</v>
      </c>
      <c r="D356">
        <v>113839</v>
      </c>
      <c r="E356" t="s">
        <v>26</v>
      </c>
      <c r="F356" t="s">
        <v>36</v>
      </c>
      <c r="G356" t="s">
        <v>15</v>
      </c>
      <c r="H356">
        <v>0</v>
      </c>
      <c r="I356" t="s">
        <v>33</v>
      </c>
      <c r="J356" t="s">
        <v>34</v>
      </c>
      <c r="K356">
        <v>59</v>
      </c>
      <c r="L356" t="s">
        <v>29</v>
      </c>
      <c r="M356" t="s">
        <v>15</v>
      </c>
    </row>
    <row r="357" spans="1:13" x14ac:dyDescent="0.3">
      <c r="A357">
        <v>356</v>
      </c>
      <c r="B357" t="s">
        <v>41</v>
      </c>
      <c r="C357" t="s">
        <v>12</v>
      </c>
      <c r="D357">
        <v>76156</v>
      </c>
      <c r="E357" t="s">
        <v>31</v>
      </c>
      <c r="F357" t="s">
        <v>36</v>
      </c>
      <c r="G357" t="s">
        <v>22</v>
      </c>
      <c r="H357">
        <v>2</v>
      </c>
      <c r="I357" t="s">
        <v>16</v>
      </c>
      <c r="J357" t="s">
        <v>17</v>
      </c>
      <c r="K357">
        <v>19</v>
      </c>
      <c r="L357" t="s">
        <v>25</v>
      </c>
      <c r="M357" t="s">
        <v>15</v>
      </c>
    </row>
    <row r="358" spans="1:13" x14ac:dyDescent="0.3">
      <c r="A358">
        <v>357</v>
      </c>
      <c r="B358" t="s">
        <v>40</v>
      </c>
      <c r="C358" t="s">
        <v>12</v>
      </c>
      <c r="D358">
        <v>22188</v>
      </c>
      <c r="E358" t="s">
        <v>26</v>
      </c>
      <c r="F358" t="s">
        <v>32</v>
      </c>
      <c r="G358" t="s">
        <v>15</v>
      </c>
      <c r="H358">
        <v>3</v>
      </c>
      <c r="I358" t="s">
        <v>27</v>
      </c>
      <c r="J358" t="s">
        <v>28</v>
      </c>
      <c r="K358">
        <v>51</v>
      </c>
      <c r="L358" t="s">
        <v>29</v>
      </c>
      <c r="M358" t="s">
        <v>15</v>
      </c>
    </row>
    <row r="359" spans="1:13" x14ac:dyDescent="0.3">
      <c r="A359">
        <v>358</v>
      </c>
      <c r="B359" t="s">
        <v>41</v>
      </c>
      <c r="C359" t="s">
        <v>19</v>
      </c>
      <c r="D359">
        <v>58453</v>
      </c>
      <c r="E359" t="s">
        <v>31</v>
      </c>
      <c r="F359" t="s">
        <v>36</v>
      </c>
      <c r="G359" t="s">
        <v>15</v>
      </c>
      <c r="H359">
        <v>0</v>
      </c>
      <c r="I359" t="s">
        <v>33</v>
      </c>
      <c r="J359" t="s">
        <v>34</v>
      </c>
      <c r="K359">
        <v>23</v>
      </c>
      <c r="L359" t="s">
        <v>38</v>
      </c>
      <c r="M359" t="s">
        <v>22</v>
      </c>
    </row>
    <row r="360" spans="1:13" x14ac:dyDescent="0.3">
      <c r="A360">
        <v>359</v>
      </c>
      <c r="B360" t="s">
        <v>40</v>
      </c>
      <c r="C360" t="s">
        <v>12</v>
      </c>
      <c r="D360">
        <v>52461</v>
      </c>
      <c r="E360" t="s">
        <v>26</v>
      </c>
      <c r="F360" t="s">
        <v>36</v>
      </c>
      <c r="G360" t="s">
        <v>15</v>
      </c>
      <c r="H360">
        <v>3</v>
      </c>
      <c r="I360" t="s">
        <v>23</v>
      </c>
      <c r="J360" t="s">
        <v>34</v>
      </c>
      <c r="K360">
        <v>48</v>
      </c>
      <c r="L360" t="s">
        <v>30</v>
      </c>
      <c r="M360" t="s">
        <v>15</v>
      </c>
    </row>
    <row r="361" spans="1:13" x14ac:dyDescent="0.3">
      <c r="A361">
        <v>360</v>
      </c>
      <c r="B361" t="s">
        <v>41</v>
      </c>
      <c r="C361" t="s">
        <v>12</v>
      </c>
      <c r="D361">
        <v>61645</v>
      </c>
      <c r="E361" t="s">
        <v>20</v>
      </c>
      <c r="F361" t="s">
        <v>32</v>
      </c>
      <c r="G361" t="s">
        <v>15</v>
      </c>
      <c r="H361">
        <v>3</v>
      </c>
      <c r="I361" t="s">
        <v>16</v>
      </c>
      <c r="J361" t="s">
        <v>28</v>
      </c>
      <c r="K361">
        <v>24</v>
      </c>
      <c r="L361" t="s">
        <v>38</v>
      </c>
      <c r="M361" t="s">
        <v>15</v>
      </c>
    </row>
    <row r="362" spans="1:13" x14ac:dyDescent="0.3">
      <c r="A362">
        <v>361</v>
      </c>
      <c r="B362" t="s">
        <v>40</v>
      </c>
      <c r="C362" t="s">
        <v>12</v>
      </c>
      <c r="D362">
        <v>53185</v>
      </c>
      <c r="E362" t="s">
        <v>26</v>
      </c>
      <c r="F362" t="s">
        <v>35</v>
      </c>
      <c r="G362" t="s">
        <v>22</v>
      </c>
      <c r="H362">
        <v>0</v>
      </c>
      <c r="I362" t="s">
        <v>27</v>
      </c>
      <c r="J362" t="s">
        <v>34</v>
      </c>
      <c r="K362">
        <v>41</v>
      </c>
      <c r="L362" t="s">
        <v>30</v>
      </c>
      <c r="M362" t="s">
        <v>22</v>
      </c>
    </row>
    <row r="363" spans="1:13" x14ac:dyDescent="0.3">
      <c r="A363">
        <v>362</v>
      </c>
      <c r="B363" t="s">
        <v>41</v>
      </c>
      <c r="C363" t="s">
        <v>12</v>
      </c>
      <c r="D363">
        <v>53106</v>
      </c>
      <c r="E363" t="s">
        <v>13</v>
      </c>
      <c r="F363" t="s">
        <v>32</v>
      </c>
      <c r="G363" t="s">
        <v>22</v>
      </c>
      <c r="H363">
        <v>0</v>
      </c>
      <c r="I363" t="s">
        <v>27</v>
      </c>
      <c r="J363" t="s">
        <v>24</v>
      </c>
      <c r="K363">
        <v>22</v>
      </c>
      <c r="L363" t="s">
        <v>38</v>
      </c>
      <c r="M363" t="s">
        <v>22</v>
      </c>
    </row>
    <row r="364" spans="1:13" x14ac:dyDescent="0.3">
      <c r="A364">
        <v>363</v>
      </c>
      <c r="B364" t="s">
        <v>40</v>
      </c>
      <c r="C364" t="s">
        <v>12</v>
      </c>
      <c r="D364">
        <v>79130</v>
      </c>
      <c r="E364" t="s">
        <v>20</v>
      </c>
      <c r="F364" t="s">
        <v>14</v>
      </c>
      <c r="G364" t="s">
        <v>15</v>
      </c>
      <c r="H364">
        <v>1</v>
      </c>
      <c r="I364" t="s">
        <v>27</v>
      </c>
      <c r="J364" t="s">
        <v>17</v>
      </c>
      <c r="K364">
        <v>44</v>
      </c>
      <c r="L364" t="s">
        <v>30</v>
      </c>
      <c r="M364" t="s">
        <v>22</v>
      </c>
    </row>
    <row r="365" spans="1:13" x14ac:dyDescent="0.3">
      <c r="A365">
        <v>364</v>
      </c>
      <c r="B365" t="s">
        <v>40</v>
      </c>
      <c r="C365" t="s">
        <v>12</v>
      </c>
      <c r="D365">
        <v>102168</v>
      </c>
      <c r="E365" t="s">
        <v>31</v>
      </c>
      <c r="F365" t="s">
        <v>32</v>
      </c>
      <c r="G365" t="s">
        <v>15</v>
      </c>
      <c r="H365">
        <v>2</v>
      </c>
      <c r="I365" t="s">
        <v>23</v>
      </c>
      <c r="J365" t="s">
        <v>24</v>
      </c>
      <c r="K365">
        <v>29</v>
      </c>
      <c r="L365" t="s">
        <v>38</v>
      </c>
      <c r="M365" t="s">
        <v>15</v>
      </c>
    </row>
    <row r="366" spans="1:13" x14ac:dyDescent="0.3">
      <c r="A366">
        <v>365</v>
      </c>
      <c r="B366" t="s">
        <v>41</v>
      </c>
      <c r="C366" t="s">
        <v>19</v>
      </c>
      <c r="D366">
        <v>70358</v>
      </c>
      <c r="E366" t="s">
        <v>20</v>
      </c>
      <c r="F366" t="s">
        <v>14</v>
      </c>
      <c r="G366" t="s">
        <v>22</v>
      </c>
      <c r="H366">
        <v>2</v>
      </c>
      <c r="I366" t="s">
        <v>33</v>
      </c>
      <c r="J366" t="s">
        <v>17</v>
      </c>
      <c r="K366">
        <v>19</v>
      </c>
      <c r="L366" t="s">
        <v>25</v>
      </c>
      <c r="M366" t="s">
        <v>15</v>
      </c>
    </row>
    <row r="367" spans="1:13" x14ac:dyDescent="0.3">
      <c r="A367">
        <v>366</v>
      </c>
      <c r="B367" t="s">
        <v>41</v>
      </c>
      <c r="C367" t="s">
        <v>12</v>
      </c>
      <c r="D367">
        <v>82235</v>
      </c>
      <c r="E367" t="s">
        <v>26</v>
      </c>
      <c r="F367" t="s">
        <v>32</v>
      </c>
      <c r="G367" t="s">
        <v>15</v>
      </c>
      <c r="H367">
        <v>1</v>
      </c>
      <c r="I367" t="s">
        <v>23</v>
      </c>
      <c r="J367" t="s">
        <v>24</v>
      </c>
      <c r="K367">
        <v>33</v>
      </c>
      <c r="L367" t="s">
        <v>18</v>
      </c>
      <c r="M367" t="s">
        <v>22</v>
      </c>
    </row>
    <row r="368" spans="1:13" x14ac:dyDescent="0.3">
      <c r="A368">
        <v>367</v>
      </c>
      <c r="B368" t="s">
        <v>41</v>
      </c>
      <c r="C368" t="s">
        <v>19</v>
      </c>
      <c r="D368">
        <v>49877</v>
      </c>
      <c r="E368" t="s">
        <v>31</v>
      </c>
      <c r="F368" t="s">
        <v>14</v>
      </c>
      <c r="G368" t="s">
        <v>15</v>
      </c>
      <c r="H368">
        <v>3</v>
      </c>
      <c r="I368" t="s">
        <v>37</v>
      </c>
      <c r="J368" t="s">
        <v>24</v>
      </c>
      <c r="K368">
        <v>32</v>
      </c>
      <c r="L368" t="s">
        <v>18</v>
      </c>
      <c r="M368" t="s">
        <v>15</v>
      </c>
    </row>
    <row r="369" spans="1:13" x14ac:dyDescent="0.3">
      <c r="A369">
        <v>368</v>
      </c>
      <c r="B369" t="s">
        <v>41</v>
      </c>
      <c r="C369" t="s">
        <v>12</v>
      </c>
      <c r="D369">
        <v>45708</v>
      </c>
      <c r="E369" t="s">
        <v>13</v>
      </c>
      <c r="F369" t="s">
        <v>36</v>
      </c>
      <c r="G369" t="s">
        <v>22</v>
      </c>
      <c r="H369">
        <v>0</v>
      </c>
      <c r="I369" t="s">
        <v>23</v>
      </c>
      <c r="J369" t="s">
        <v>24</v>
      </c>
      <c r="K369">
        <v>23</v>
      </c>
      <c r="L369" t="s">
        <v>38</v>
      </c>
      <c r="M369" t="s">
        <v>15</v>
      </c>
    </row>
    <row r="370" spans="1:13" x14ac:dyDescent="0.3">
      <c r="A370">
        <v>369</v>
      </c>
      <c r="B370" t="s">
        <v>40</v>
      </c>
      <c r="C370" t="s">
        <v>19</v>
      </c>
      <c r="D370">
        <v>67524</v>
      </c>
      <c r="E370" t="s">
        <v>20</v>
      </c>
      <c r="F370" t="s">
        <v>21</v>
      </c>
      <c r="G370" t="s">
        <v>15</v>
      </c>
      <c r="H370">
        <v>1</v>
      </c>
      <c r="I370" t="s">
        <v>23</v>
      </c>
      <c r="J370" t="s">
        <v>17</v>
      </c>
      <c r="K370">
        <v>50</v>
      </c>
      <c r="L370" t="s">
        <v>30</v>
      </c>
      <c r="M370" t="s">
        <v>15</v>
      </c>
    </row>
    <row r="371" spans="1:13" x14ac:dyDescent="0.3">
      <c r="A371">
        <v>370</v>
      </c>
      <c r="B371" t="s">
        <v>40</v>
      </c>
      <c r="C371" t="s">
        <v>19</v>
      </c>
      <c r="D371">
        <v>118934</v>
      </c>
      <c r="E371" t="s">
        <v>20</v>
      </c>
      <c r="F371" t="s">
        <v>21</v>
      </c>
      <c r="G371" t="s">
        <v>22</v>
      </c>
      <c r="H371">
        <v>0</v>
      </c>
      <c r="I371" t="s">
        <v>37</v>
      </c>
      <c r="J371" t="s">
        <v>24</v>
      </c>
      <c r="K371">
        <v>34</v>
      </c>
      <c r="L371" t="s">
        <v>18</v>
      </c>
      <c r="M371" t="s">
        <v>15</v>
      </c>
    </row>
    <row r="372" spans="1:13" x14ac:dyDescent="0.3">
      <c r="A372">
        <v>371</v>
      </c>
      <c r="B372" t="s">
        <v>41</v>
      </c>
      <c r="C372" t="s">
        <v>19</v>
      </c>
      <c r="D372">
        <v>59576</v>
      </c>
      <c r="E372" t="s">
        <v>26</v>
      </c>
      <c r="F372" t="s">
        <v>32</v>
      </c>
      <c r="G372" t="s">
        <v>22</v>
      </c>
      <c r="H372">
        <v>2</v>
      </c>
      <c r="I372" t="s">
        <v>16</v>
      </c>
      <c r="J372" t="s">
        <v>28</v>
      </c>
      <c r="K372">
        <v>32</v>
      </c>
      <c r="L372" t="s">
        <v>18</v>
      </c>
      <c r="M372" t="s">
        <v>15</v>
      </c>
    </row>
    <row r="373" spans="1:13" x14ac:dyDescent="0.3">
      <c r="A373">
        <v>372</v>
      </c>
      <c r="B373" t="s">
        <v>41</v>
      </c>
      <c r="C373" t="s">
        <v>19</v>
      </c>
      <c r="D373">
        <v>52766</v>
      </c>
      <c r="E373" t="s">
        <v>31</v>
      </c>
      <c r="F373" t="s">
        <v>14</v>
      </c>
      <c r="G373" t="s">
        <v>15</v>
      </c>
      <c r="H373">
        <v>0</v>
      </c>
      <c r="I373" t="s">
        <v>33</v>
      </c>
      <c r="J373" t="s">
        <v>34</v>
      </c>
      <c r="K373">
        <v>36</v>
      </c>
      <c r="L373" t="s">
        <v>18</v>
      </c>
      <c r="M373" t="s">
        <v>22</v>
      </c>
    </row>
    <row r="374" spans="1:13" x14ac:dyDescent="0.3">
      <c r="A374">
        <v>373</v>
      </c>
      <c r="B374" t="s">
        <v>40</v>
      </c>
      <c r="C374" t="s">
        <v>12</v>
      </c>
      <c r="D374">
        <v>75258</v>
      </c>
      <c r="E374" t="s">
        <v>13</v>
      </c>
      <c r="F374" t="s">
        <v>35</v>
      </c>
      <c r="G374" t="s">
        <v>22</v>
      </c>
      <c r="H374">
        <v>3</v>
      </c>
      <c r="I374" t="s">
        <v>16</v>
      </c>
      <c r="J374" t="s">
        <v>28</v>
      </c>
      <c r="K374">
        <v>26</v>
      </c>
      <c r="L374" t="s">
        <v>38</v>
      </c>
      <c r="M374" t="s">
        <v>15</v>
      </c>
    </row>
    <row r="375" spans="1:13" x14ac:dyDescent="0.3">
      <c r="A375">
        <v>374</v>
      </c>
      <c r="B375" t="s">
        <v>40</v>
      </c>
      <c r="C375" t="s">
        <v>12</v>
      </c>
      <c r="D375">
        <v>95965</v>
      </c>
      <c r="E375" t="s">
        <v>26</v>
      </c>
      <c r="F375" t="s">
        <v>36</v>
      </c>
      <c r="G375" t="s">
        <v>15</v>
      </c>
      <c r="H375">
        <v>0</v>
      </c>
      <c r="I375" t="s">
        <v>27</v>
      </c>
      <c r="J375" t="s">
        <v>17</v>
      </c>
      <c r="K375">
        <v>22</v>
      </c>
      <c r="L375" t="s">
        <v>38</v>
      </c>
      <c r="M375" t="s">
        <v>22</v>
      </c>
    </row>
    <row r="376" spans="1:13" x14ac:dyDescent="0.3">
      <c r="A376">
        <v>375</v>
      </c>
      <c r="B376" t="s">
        <v>40</v>
      </c>
      <c r="C376" t="s">
        <v>19</v>
      </c>
      <c r="D376">
        <v>82293</v>
      </c>
      <c r="E376" t="s">
        <v>20</v>
      </c>
      <c r="F376" t="s">
        <v>21</v>
      </c>
      <c r="G376" t="s">
        <v>15</v>
      </c>
      <c r="H376">
        <v>3</v>
      </c>
      <c r="I376" t="s">
        <v>16</v>
      </c>
      <c r="J376" t="s">
        <v>34</v>
      </c>
      <c r="K376">
        <v>41</v>
      </c>
      <c r="L376" t="s">
        <v>30</v>
      </c>
      <c r="M376" t="s">
        <v>15</v>
      </c>
    </row>
    <row r="377" spans="1:13" x14ac:dyDescent="0.3">
      <c r="A377">
        <v>376</v>
      </c>
      <c r="B377" t="s">
        <v>40</v>
      </c>
      <c r="C377" t="s">
        <v>19</v>
      </c>
      <c r="D377">
        <v>20158</v>
      </c>
      <c r="E377" t="s">
        <v>20</v>
      </c>
      <c r="F377" t="s">
        <v>36</v>
      </c>
      <c r="G377" t="s">
        <v>22</v>
      </c>
      <c r="H377">
        <v>3</v>
      </c>
      <c r="I377" t="s">
        <v>33</v>
      </c>
      <c r="J377" t="s">
        <v>17</v>
      </c>
      <c r="K377">
        <v>36</v>
      </c>
      <c r="L377" t="s">
        <v>18</v>
      </c>
      <c r="M377" t="s">
        <v>15</v>
      </c>
    </row>
    <row r="378" spans="1:13" x14ac:dyDescent="0.3">
      <c r="A378">
        <v>377</v>
      </c>
      <c r="B378" t="s">
        <v>40</v>
      </c>
      <c r="C378" t="s">
        <v>19</v>
      </c>
      <c r="D378">
        <v>80172</v>
      </c>
      <c r="E378" t="s">
        <v>26</v>
      </c>
      <c r="F378" t="s">
        <v>14</v>
      </c>
      <c r="G378" t="s">
        <v>15</v>
      </c>
      <c r="H378">
        <v>3</v>
      </c>
      <c r="I378" t="s">
        <v>27</v>
      </c>
      <c r="J378" t="s">
        <v>28</v>
      </c>
      <c r="K378">
        <v>18</v>
      </c>
      <c r="L378" t="s">
        <v>25</v>
      </c>
      <c r="M378" t="s">
        <v>15</v>
      </c>
    </row>
    <row r="379" spans="1:13" x14ac:dyDescent="0.3">
      <c r="A379">
        <v>378</v>
      </c>
      <c r="B379" t="s">
        <v>40</v>
      </c>
      <c r="C379" t="s">
        <v>19</v>
      </c>
      <c r="D379">
        <v>108570</v>
      </c>
      <c r="E379" t="s">
        <v>31</v>
      </c>
      <c r="F379" t="s">
        <v>35</v>
      </c>
      <c r="G379" t="s">
        <v>22</v>
      </c>
      <c r="H379">
        <v>1</v>
      </c>
      <c r="I379" t="s">
        <v>16</v>
      </c>
      <c r="J379" t="s">
        <v>17</v>
      </c>
      <c r="K379">
        <v>24</v>
      </c>
      <c r="L379" t="s">
        <v>38</v>
      </c>
      <c r="M379" t="s">
        <v>22</v>
      </c>
    </row>
    <row r="380" spans="1:13" x14ac:dyDescent="0.3">
      <c r="A380">
        <v>379</v>
      </c>
      <c r="B380" t="s">
        <v>40</v>
      </c>
      <c r="C380" t="s">
        <v>19</v>
      </c>
      <c r="D380">
        <v>73105</v>
      </c>
      <c r="E380" t="s">
        <v>31</v>
      </c>
      <c r="F380" t="s">
        <v>35</v>
      </c>
      <c r="G380" t="s">
        <v>15</v>
      </c>
      <c r="H380">
        <v>0</v>
      </c>
      <c r="I380" t="s">
        <v>37</v>
      </c>
      <c r="J380" t="s">
        <v>17</v>
      </c>
      <c r="K380">
        <v>41</v>
      </c>
      <c r="L380" t="s">
        <v>30</v>
      </c>
      <c r="M380" t="s">
        <v>22</v>
      </c>
    </row>
    <row r="381" spans="1:13" x14ac:dyDescent="0.3">
      <c r="A381">
        <v>380</v>
      </c>
      <c r="B381" t="s">
        <v>40</v>
      </c>
      <c r="C381" t="s">
        <v>12</v>
      </c>
      <c r="D381">
        <v>28536</v>
      </c>
      <c r="E381" t="s">
        <v>26</v>
      </c>
      <c r="F381" t="s">
        <v>21</v>
      </c>
      <c r="G381" t="s">
        <v>15</v>
      </c>
      <c r="H381">
        <v>3</v>
      </c>
      <c r="I381" t="s">
        <v>23</v>
      </c>
      <c r="J381" t="s">
        <v>28</v>
      </c>
      <c r="K381">
        <v>33</v>
      </c>
      <c r="L381" t="s">
        <v>18</v>
      </c>
      <c r="M381" t="s">
        <v>15</v>
      </c>
    </row>
    <row r="382" spans="1:13" x14ac:dyDescent="0.3">
      <c r="A382">
        <v>381</v>
      </c>
      <c r="B382" t="s">
        <v>40</v>
      </c>
      <c r="C382" t="s">
        <v>19</v>
      </c>
      <c r="D382">
        <v>91505</v>
      </c>
      <c r="E382" t="s">
        <v>26</v>
      </c>
      <c r="F382" t="s">
        <v>32</v>
      </c>
      <c r="G382" t="s">
        <v>15</v>
      </c>
      <c r="H382">
        <v>0</v>
      </c>
      <c r="I382" t="s">
        <v>23</v>
      </c>
      <c r="J382" t="s">
        <v>17</v>
      </c>
      <c r="K382">
        <v>38</v>
      </c>
      <c r="L382" t="s">
        <v>18</v>
      </c>
      <c r="M382" t="s">
        <v>15</v>
      </c>
    </row>
    <row r="383" spans="1:13" x14ac:dyDescent="0.3">
      <c r="A383">
        <v>382</v>
      </c>
      <c r="B383" t="s">
        <v>40</v>
      </c>
      <c r="C383" t="s">
        <v>19</v>
      </c>
      <c r="D383">
        <v>105259</v>
      </c>
      <c r="E383" t="s">
        <v>13</v>
      </c>
      <c r="F383" t="s">
        <v>36</v>
      </c>
      <c r="G383" t="s">
        <v>15</v>
      </c>
      <c r="H383">
        <v>2</v>
      </c>
      <c r="I383" t="s">
        <v>37</v>
      </c>
      <c r="J383" t="s">
        <v>28</v>
      </c>
      <c r="K383">
        <v>30</v>
      </c>
      <c r="L383" t="s">
        <v>38</v>
      </c>
      <c r="M383" t="s">
        <v>22</v>
      </c>
    </row>
    <row r="384" spans="1:13" x14ac:dyDescent="0.3">
      <c r="A384">
        <v>383</v>
      </c>
      <c r="B384" t="s">
        <v>40</v>
      </c>
      <c r="C384" t="s">
        <v>12</v>
      </c>
      <c r="D384">
        <v>103861</v>
      </c>
      <c r="E384" t="s">
        <v>20</v>
      </c>
      <c r="F384" t="s">
        <v>14</v>
      </c>
      <c r="G384" t="s">
        <v>15</v>
      </c>
      <c r="H384">
        <v>1</v>
      </c>
      <c r="I384" t="s">
        <v>27</v>
      </c>
      <c r="J384" t="s">
        <v>28</v>
      </c>
      <c r="K384">
        <v>59</v>
      </c>
      <c r="L384" t="s">
        <v>29</v>
      </c>
      <c r="M384" t="s">
        <v>15</v>
      </c>
    </row>
    <row r="385" spans="1:13" x14ac:dyDescent="0.3">
      <c r="A385">
        <v>384</v>
      </c>
      <c r="B385" t="s">
        <v>40</v>
      </c>
      <c r="C385" t="s">
        <v>12</v>
      </c>
      <c r="D385">
        <v>56326</v>
      </c>
      <c r="E385" t="s">
        <v>26</v>
      </c>
      <c r="F385" t="s">
        <v>21</v>
      </c>
      <c r="G385" t="s">
        <v>15</v>
      </c>
      <c r="H385">
        <v>2</v>
      </c>
      <c r="I385" t="s">
        <v>27</v>
      </c>
      <c r="J385" t="s">
        <v>28</v>
      </c>
      <c r="K385">
        <v>29</v>
      </c>
      <c r="L385" t="s">
        <v>38</v>
      </c>
      <c r="M385" t="s">
        <v>22</v>
      </c>
    </row>
    <row r="386" spans="1:13" x14ac:dyDescent="0.3">
      <c r="A386">
        <v>385</v>
      </c>
      <c r="B386" t="s">
        <v>40</v>
      </c>
      <c r="C386" t="s">
        <v>19</v>
      </c>
      <c r="D386">
        <v>58795</v>
      </c>
      <c r="E386" t="s">
        <v>26</v>
      </c>
      <c r="F386" t="s">
        <v>21</v>
      </c>
      <c r="G386" t="s">
        <v>15</v>
      </c>
      <c r="H386">
        <v>2</v>
      </c>
      <c r="I386" t="s">
        <v>23</v>
      </c>
      <c r="J386" t="s">
        <v>17</v>
      </c>
      <c r="K386">
        <v>41</v>
      </c>
      <c r="L386" t="s">
        <v>30</v>
      </c>
      <c r="M386" t="s">
        <v>15</v>
      </c>
    </row>
    <row r="387" spans="1:13" x14ac:dyDescent="0.3">
      <c r="A387">
        <v>386</v>
      </c>
      <c r="B387" t="s">
        <v>40</v>
      </c>
      <c r="C387" t="s">
        <v>12</v>
      </c>
      <c r="D387">
        <v>84295</v>
      </c>
      <c r="E387" t="s">
        <v>31</v>
      </c>
      <c r="F387" t="s">
        <v>21</v>
      </c>
      <c r="G387" t="s">
        <v>22</v>
      </c>
      <c r="H387">
        <v>2</v>
      </c>
      <c r="I387" t="s">
        <v>33</v>
      </c>
      <c r="J387" t="s">
        <v>34</v>
      </c>
      <c r="K387">
        <v>59</v>
      </c>
      <c r="L387" t="s">
        <v>29</v>
      </c>
      <c r="M387" t="s">
        <v>15</v>
      </c>
    </row>
    <row r="388" spans="1:13" x14ac:dyDescent="0.3">
      <c r="A388">
        <v>387</v>
      </c>
      <c r="B388" t="s">
        <v>40</v>
      </c>
      <c r="C388" t="s">
        <v>12</v>
      </c>
      <c r="D388">
        <v>103322</v>
      </c>
      <c r="E388" t="s">
        <v>13</v>
      </c>
      <c r="F388" t="s">
        <v>14</v>
      </c>
      <c r="G388" t="s">
        <v>15</v>
      </c>
      <c r="H388">
        <v>3</v>
      </c>
      <c r="I388" t="s">
        <v>23</v>
      </c>
      <c r="J388" t="s">
        <v>28</v>
      </c>
      <c r="K388">
        <v>36</v>
      </c>
      <c r="L388" t="s">
        <v>18</v>
      </c>
      <c r="M388" t="s">
        <v>15</v>
      </c>
    </row>
    <row r="389" spans="1:13" x14ac:dyDescent="0.3">
      <c r="A389">
        <v>388</v>
      </c>
      <c r="B389" t="s">
        <v>40</v>
      </c>
      <c r="C389" t="s">
        <v>12</v>
      </c>
      <c r="D389">
        <v>36110</v>
      </c>
      <c r="E389" t="s">
        <v>13</v>
      </c>
      <c r="F389" t="s">
        <v>36</v>
      </c>
      <c r="G389" t="s">
        <v>22</v>
      </c>
      <c r="H389">
        <v>2</v>
      </c>
      <c r="I389" t="s">
        <v>27</v>
      </c>
      <c r="J389" t="s">
        <v>17</v>
      </c>
      <c r="K389">
        <v>46</v>
      </c>
      <c r="L389" t="s">
        <v>30</v>
      </c>
      <c r="M389" t="s">
        <v>15</v>
      </c>
    </row>
    <row r="390" spans="1:13" x14ac:dyDescent="0.3">
      <c r="A390">
        <v>389</v>
      </c>
      <c r="B390" t="s">
        <v>40</v>
      </c>
      <c r="C390" t="s">
        <v>19</v>
      </c>
      <c r="D390">
        <v>40189</v>
      </c>
      <c r="E390" t="s">
        <v>31</v>
      </c>
      <c r="F390" t="s">
        <v>21</v>
      </c>
      <c r="G390" t="s">
        <v>15</v>
      </c>
      <c r="H390">
        <v>3</v>
      </c>
      <c r="I390" t="s">
        <v>27</v>
      </c>
      <c r="J390" t="s">
        <v>34</v>
      </c>
      <c r="K390">
        <v>54</v>
      </c>
      <c r="L390" t="s">
        <v>29</v>
      </c>
      <c r="M390" t="s">
        <v>15</v>
      </c>
    </row>
    <row r="391" spans="1:13" x14ac:dyDescent="0.3">
      <c r="A391">
        <v>390</v>
      </c>
      <c r="B391" t="s">
        <v>41</v>
      </c>
      <c r="C391" t="s">
        <v>19</v>
      </c>
      <c r="D391">
        <v>62190</v>
      </c>
      <c r="E391" t="s">
        <v>20</v>
      </c>
      <c r="F391" t="s">
        <v>35</v>
      </c>
      <c r="G391" t="s">
        <v>22</v>
      </c>
      <c r="H391">
        <v>0</v>
      </c>
      <c r="I391" t="s">
        <v>37</v>
      </c>
      <c r="J391" t="s">
        <v>17</v>
      </c>
      <c r="K391">
        <v>40</v>
      </c>
      <c r="L391" t="s">
        <v>18</v>
      </c>
      <c r="M391" t="s">
        <v>22</v>
      </c>
    </row>
    <row r="392" spans="1:13" x14ac:dyDescent="0.3">
      <c r="A392">
        <v>391</v>
      </c>
      <c r="B392" t="s">
        <v>41</v>
      </c>
      <c r="C392" t="s">
        <v>19</v>
      </c>
      <c r="D392">
        <v>105076</v>
      </c>
      <c r="E392" t="s">
        <v>31</v>
      </c>
      <c r="F392" t="s">
        <v>14</v>
      </c>
      <c r="G392" t="s">
        <v>15</v>
      </c>
      <c r="H392">
        <v>1</v>
      </c>
      <c r="I392" t="s">
        <v>33</v>
      </c>
      <c r="J392" t="s">
        <v>17</v>
      </c>
      <c r="K392">
        <v>58</v>
      </c>
      <c r="L392" t="s">
        <v>29</v>
      </c>
      <c r="M392" t="s">
        <v>15</v>
      </c>
    </row>
    <row r="393" spans="1:13" x14ac:dyDescent="0.3">
      <c r="A393">
        <v>392</v>
      </c>
      <c r="B393" t="s">
        <v>40</v>
      </c>
      <c r="C393" t="s">
        <v>19</v>
      </c>
      <c r="D393">
        <v>57793</v>
      </c>
      <c r="E393" t="s">
        <v>13</v>
      </c>
      <c r="F393" t="s">
        <v>32</v>
      </c>
      <c r="G393" t="s">
        <v>15</v>
      </c>
      <c r="H393">
        <v>3</v>
      </c>
      <c r="I393" t="s">
        <v>27</v>
      </c>
      <c r="J393" t="s">
        <v>28</v>
      </c>
      <c r="K393">
        <v>18</v>
      </c>
      <c r="L393" t="s">
        <v>25</v>
      </c>
      <c r="M393" t="s">
        <v>15</v>
      </c>
    </row>
    <row r="394" spans="1:13" x14ac:dyDescent="0.3">
      <c r="A394">
        <v>393</v>
      </c>
      <c r="B394" t="s">
        <v>40</v>
      </c>
      <c r="C394" t="s">
        <v>19</v>
      </c>
      <c r="D394">
        <v>85244</v>
      </c>
      <c r="E394" t="s">
        <v>31</v>
      </c>
      <c r="F394" t="s">
        <v>35</v>
      </c>
      <c r="G394" t="s">
        <v>15</v>
      </c>
      <c r="H394">
        <v>0</v>
      </c>
      <c r="I394" t="s">
        <v>33</v>
      </c>
      <c r="J394" t="s">
        <v>17</v>
      </c>
      <c r="K394">
        <v>36</v>
      </c>
      <c r="L394" t="s">
        <v>18</v>
      </c>
      <c r="M394" t="s">
        <v>15</v>
      </c>
    </row>
    <row r="395" spans="1:13" x14ac:dyDescent="0.3">
      <c r="A395">
        <v>394</v>
      </c>
      <c r="B395" t="s">
        <v>40</v>
      </c>
      <c r="C395" t="s">
        <v>12</v>
      </c>
      <c r="D395">
        <v>115299</v>
      </c>
      <c r="E395" t="s">
        <v>13</v>
      </c>
      <c r="F395" t="s">
        <v>14</v>
      </c>
      <c r="G395" t="s">
        <v>22</v>
      </c>
      <c r="H395">
        <v>1</v>
      </c>
      <c r="I395" t="s">
        <v>37</v>
      </c>
      <c r="J395" t="s">
        <v>34</v>
      </c>
      <c r="K395">
        <v>57</v>
      </c>
      <c r="L395" t="s">
        <v>29</v>
      </c>
      <c r="M395" t="s">
        <v>15</v>
      </c>
    </row>
    <row r="396" spans="1:13" x14ac:dyDescent="0.3">
      <c r="A396">
        <v>395</v>
      </c>
      <c r="B396" t="s">
        <v>40</v>
      </c>
      <c r="C396" t="s">
        <v>19</v>
      </c>
      <c r="D396">
        <v>52321</v>
      </c>
      <c r="E396" t="s">
        <v>31</v>
      </c>
      <c r="F396" t="s">
        <v>32</v>
      </c>
      <c r="G396" t="s">
        <v>22</v>
      </c>
      <c r="H396">
        <v>3</v>
      </c>
      <c r="I396" t="s">
        <v>16</v>
      </c>
      <c r="J396" t="s">
        <v>17</v>
      </c>
      <c r="K396">
        <v>18</v>
      </c>
      <c r="L396" t="s">
        <v>25</v>
      </c>
      <c r="M396" t="s">
        <v>15</v>
      </c>
    </row>
    <row r="397" spans="1:13" x14ac:dyDescent="0.3">
      <c r="A397">
        <v>396</v>
      </c>
      <c r="B397" t="s">
        <v>40</v>
      </c>
      <c r="C397" t="s">
        <v>12</v>
      </c>
      <c r="D397">
        <v>81987</v>
      </c>
      <c r="E397" t="s">
        <v>26</v>
      </c>
      <c r="F397" t="s">
        <v>35</v>
      </c>
      <c r="G397" t="s">
        <v>22</v>
      </c>
      <c r="H397">
        <v>0</v>
      </c>
      <c r="I397" t="s">
        <v>33</v>
      </c>
      <c r="J397" t="s">
        <v>34</v>
      </c>
      <c r="K397">
        <v>39</v>
      </c>
      <c r="L397" t="s">
        <v>18</v>
      </c>
      <c r="M397" t="s">
        <v>22</v>
      </c>
    </row>
    <row r="398" spans="1:13" x14ac:dyDescent="0.3">
      <c r="A398">
        <v>397</v>
      </c>
      <c r="B398" t="s">
        <v>40</v>
      </c>
      <c r="C398" t="s">
        <v>12</v>
      </c>
      <c r="D398">
        <v>106030</v>
      </c>
      <c r="E398" t="s">
        <v>13</v>
      </c>
      <c r="F398" t="s">
        <v>36</v>
      </c>
      <c r="G398" t="s">
        <v>22</v>
      </c>
      <c r="H398">
        <v>3</v>
      </c>
      <c r="I398" t="s">
        <v>16</v>
      </c>
      <c r="J398" t="s">
        <v>17</v>
      </c>
      <c r="K398">
        <v>53</v>
      </c>
      <c r="L398" t="s">
        <v>29</v>
      </c>
      <c r="M398" t="s">
        <v>15</v>
      </c>
    </row>
    <row r="399" spans="1:13" x14ac:dyDescent="0.3">
      <c r="A399">
        <v>398</v>
      </c>
      <c r="B399" t="s">
        <v>40</v>
      </c>
      <c r="C399" t="s">
        <v>19</v>
      </c>
      <c r="D399">
        <v>106812</v>
      </c>
      <c r="E399" t="s">
        <v>31</v>
      </c>
      <c r="F399" t="s">
        <v>36</v>
      </c>
      <c r="G399" t="s">
        <v>15</v>
      </c>
      <c r="H399">
        <v>2</v>
      </c>
      <c r="I399" t="s">
        <v>16</v>
      </c>
      <c r="J399" t="s">
        <v>17</v>
      </c>
      <c r="K399">
        <v>35</v>
      </c>
      <c r="L399" t="s">
        <v>18</v>
      </c>
      <c r="M399" t="s">
        <v>15</v>
      </c>
    </row>
    <row r="400" spans="1:13" x14ac:dyDescent="0.3">
      <c r="A400">
        <v>399</v>
      </c>
      <c r="B400" t="s">
        <v>40</v>
      </c>
      <c r="C400" t="s">
        <v>12</v>
      </c>
      <c r="D400">
        <v>59986</v>
      </c>
      <c r="E400" t="s">
        <v>26</v>
      </c>
      <c r="F400" t="s">
        <v>14</v>
      </c>
      <c r="G400" t="s">
        <v>15</v>
      </c>
      <c r="H400">
        <v>2</v>
      </c>
      <c r="I400" t="s">
        <v>37</v>
      </c>
      <c r="J400" t="s">
        <v>24</v>
      </c>
      <c r="K400">
        <v>58</v>
      </c>
      <c r="L400" t="s">
        <v>29</v>
      </c>
      <c r="M400" t="s">
        <v>15</v>
      </c>
    </row>
    <row r="401" spans="1:13" x14ac:dyDescent="0.3">
      <c r="A401">
        <v>400</v>
      </c>
      <c r="B401" t="s">
        <v>40</v>
      </c>
      <c r="C401" t="s">
        <v>12</v>
      </c>
      <c r="D401">
        <v>60214</v>
      </c>
      <c r="E401" t="s">
        <v>26</v>
      </c>
      <c r="F401" t="s">
        <v>36</v>
      </c>
      <c r="G401" t="s">
        <v>22</v>
      </c>
      <c r="H401">
        <v>2</v>
      </c>
      <c r="I401" t="s">
        <v>37</v>
      </c>
      <c r="J401" t="s">
        <v>34</v>
      </c>
      <c r="K401">
        <v>29</v>
      </c>
      <c r="L401" t="s">
        <v>38</v>
      </c>
      <c r="M401" t="s">
        <v>22</v>
      </c>
    </row>
    <row r="402" spans="1:13" x14ac:dyDescent="0.3">
      <c r="A402">
        <v>401</v>
      </c>
      <c r="B402" t="s">
        <v>40</v>
      </c>
      <c r="C402" t="s">
        <v>12</v>
      </c>
      <c r="D402">
        <v>25915</v>
      </c>
      <c r="E402" t="s">
        <v>13</v>
      </c>
      <c r="F402" t="s">
        <v>32</v>
      </c>
      <c r="G402" t="s">
        <v>15</v>
      </c>
      <c r="H402">
        <v>3</v>
      </c>
      <c r="I402" t="s">
        <v>37</v>
      </c>
      <c r="J402" t="s">
        <v>17</v>
      </c>
      <c r="K402">
        <v>32</v>
      </c>
      <c r="L402" t="s">
        <v>18</v>
      </c>
      <c r="M402" t="s">
        <v>15</v>
      </c>
    </row>
    <row r="403" spans="1:13" x14ac:dyDescent="0.3">
      <c r="A403">
        <v>402</v>
      </c>
      <c r="B403" t="s">
        <v>40</v>
      </c>
      <c r="C403" t="s">
        <v>12</v>
      </c>
      <c r="D403">
        <v>22376</v>
      </c>
      <c r="E403" t="s">
        <v>13</v>
      </c>
      <c r="F403" t="s">
        <v>32</v>
      </c>
      <c r="G403" t="s">
        <v>15</v>
      </c>
      <c r="H403">
        <v>0</v>
      </c>
      <c r="I403" t="s">
        <v>23</v>
      </c>
      <c r="J403" t="s">
        <v>34</v>
      </c>
      <c r="K403">
        <v>54</v>
      </c>
      <c r="L403" t="s">
        <v>29</v>
      </c>
      <c r="M403" t="s">
        <v>15</v>
      </c>
    </row>
    <row r="404" spans="1:13" x14ac:dyDescent="0.3">
      <c r="A404">
        <v>403</v>
      </c>
      <c r="B404" t="s">
        <v>41</v>
      </c>
      <c r="C404" t="s">
        <v>12</v>
      </c>
      <c r="D404">
        <v>60108</v>
      </c>
      <c r="E404" t="s">
        <v>31</v>
      </c>
      <c r="F404" t="s">
        <v>32</v>
      </c>
      <c r="G404" t="s">
        <v>22</v>
      </c>
      <c r="H404">
        <v>0</v>
      </c>
      <c r="I404" t="s">
        <v>16</v>
      </c>
      <c r="J404" t="s">
        <v>24</v>
      </c>
      <c r="K404">
        <v>25</v>
      </c>
      <c r="L404" t="s">
        <v>38</v>
      </c>
      <c r="M404" t="s">
        <v>15</v>
      </c>
    </row>
    <row r="405" spans="1:13" x14ac:dyDescent="0.3">
      <c r="A405">
        <v>404</v>
      </c>
      <c r="B405" t="s">
        <v>41</v>
      </c>
      <c r="C405" t="s">
        <v>12</v>
      </c>
      <c r="D405">
        <v>44626</v>
      </c>
      <c r="E405" t="s">
        <v>26</v>
      </c>
      <c r="F405" t="s">
        <v>35</v>
      </c>
      <c r="G405" t="s">
        <v>15</v>
      </c>
      <c r="H405">
        <v>0</v>
      </c>
      <c r="I405" t="s">
        <v>33</v>
      </c>
      <c r="J405" t="s">
        <v>24</v>
      </c>
      <c r="K405">
        <v>43</v>
      </c>
      <c r="L405" t="s">
        <v>30</v>
      </c>
      <c r="M405" t="s">
        <v>15</v>
      </c>
    </row>
    <row r="406" spans="1:13" x14ac:dyDescent="0.3">
      <c r="A406">
        <v>405</v>
      </c>
      <c r="B406" t="s">
        <v>41</v>
      </c>
      <c r="C406" t="s">
        <v>19</v>
      </c>
      <c r="D406">
        <v>77796</v>
      </c>
      <c r="E406" t="s">
        <v>13</v>
      </c>
      <c r="F406" t="s">
        <v>14</v>
      </c>
      <c r="G406" t="s">
        <v>22</v>
      </c>
      <c r="H406">
        <v>2</v>
      </c>
      <c r="I406" t="s">
        <v>16</v>
      </c>
      <c r="J406" t="s">
        <v>28</v>
      </c>
      <c r="K406">
        <v>42</v>
      </c>
      <c r="L406" t="s">
        <v>30</v>
      </c>
      <c r="M406" t="s">
        <v>22</v>
      </c>
    </row>
    <row r="407" spans="1:13" x14ac:dyDescent="0.3">
      <c r="A407">
        <v>406</v>
      </c>
      <c r="B407" t="s">
        <v>41</v>
      </c>
      <c r="C407" t="s">
        <v>19</v>
      </c>
      <c r="D407">
        <v>42217</v>
      </c>
      <c r="E407" t="s">
        <v>20</v>
      </c>
      <c r="F407" t="s">
        <v>14</v>
      </c>
      <c r="G407" t="s">
        <v>15</v>
      </c>
      <c r="H407">
        <v>1</v>
      </c>
      <c r="I407" t="s">
        <v>16</v>
      </c>
      <c r="J407" t="s">
        <v>28</v>
      </c>
      <c r="K407">
        <v>60</v>
      </c>
      <c r="L407" t="s">
        <v>29</v>
      </c>
      <c r="M407" t="s">
        <v>15</v>
      </c>
    </row>
    <row r="408" spans="1:13" x14ac:dyDescent="0.3">
      <c r="A408">
        <v>407</v>
      </c>
      <c r="B408" t="s">
        <v>41</v>
      </c>
      <c r="C408" t="s">
        <v>19</v>
      </c>
      <c r="D408">
        <v>83934</v>
      </c>
      <c r="E408" t="s">
        <v>20</v>
      </c>
      <c r="F408" t="s">
        <v>32</v>
      </c>
      <c r="G408" t="s">
        <v>22</v>
      </c>
      <c r="H408">
        <v>3</v>
      </c>
      <c r="I408" t="s">
        <v>37</v>
      </c>
      <c r="J408" t="s">
        <v>28</v>
      </c>
      <c r="K408">
        <v>34</v>
      </c>
      <c r="L408" t="s">
        <v>18</v>
      </c>
      <c r="M408" t="s">
        <v>15</v>
      </c>
    </row>
    <row r="409" spans="1:13" x14ac:dyDescent="0.3">
      <c r="A409">
        <v>408</v>
      </c>
      <c r="B409" t="s">
        <v>40</v>
      </c>
      <c r="C409" t="s">
        <v>19</v>
      </c>
      <c r="D409">
        <v>112714</v>
      </c>
      <c r="E409" t="s">
        <v>26</v>
      </c>
      <c r="F409" t="s">
        <v>36</v>
      </c>
      <c r="G409" t="s">
        <v>15</v>
      </c>
      <c r="H409">
        <v>1</v>
      </c>
      <c r="I409" t="s">
        <v>23</v>
      </c>
      <c r="J409" t="s">
        <v>17</v>
      </c>
      <c r="K409">
        <v>27</v>
      </c>
      <c r="L409" t="s">
        <v>38</v>
      </c>
      <c r="M409" t="s">
        <v>22</v>
      </c>
    </row>
    <row r="410" spans="1:13" x14ac:dyDescent="0.3">
      <c r="A410">
        <v>409</v>
      </c>
      <c r="B410" t="s">
        <v>40</v>
      </c>
      <c r="C410" t="s">
        <v>19</v>
      </c>
      <c r="D410">
        <v>116770</v>
      </c>
      <c r="E410" t="s">
        <v>20</v>
      </c>
      <c r="F410" t="s">
        <v>14</v>
      </c>
      <c r="G410" t="s">
        <v>15</v>
      </c>
      <c r="H410">
        <v>0</v>
      </c>
      <c r="I410" t="s">
        <v>27</v>
      </c>
      <c r="J410" t="s">
        <v>28</v>
      </c>
      <c r="K410">
        <v>47</v>
      </c>
      <c r="L410" t="s">
        <v>30</v>
      </c>
      <c r="M410" t="s">
        <v>15</v>
      </c>
    </row>
    <row r="411" spans="1:13" x14ac:dyDescent="0.3">
      <c r="A411">
        <v>410</v>
      </c>
      <c r="B411" t="s">
        <v>40</v>
      </c>
      <c r="C411" t="s">
        <v>19</v>
      </c>
      <c r="D411">
        <v>29280</v>
      </c>
      <c r="E411" t="s">
        <v>13</v>
      </c>
      <c r="F411" t="s">
        <v>36</v>
      </c>
      <c r="G411" t="s">
        <v>15</v>
      </c>
      <c r="H411">
        <v>0</v>
      </c>
      <c r="I411" t="s">
        <v>37</v>
      </c>
      <c r="J411" t="s">
        <v>28</v>
      </c>
      <c r="K411">
        <v>47</v>
      </c>
      <c r="L411" t="s">
        <v>30</v>
      </c>
      <c r="M411" t="s">
        <v>15</v>
      </c>
    </row>
    <row r="412" spans="1:13" x14ac:dyDescent="0.3">
      <c r="A412">
        <v>411</v>
      </c>
      <c r="B412" t="s">
        <v>40</v>
      </c>
      <c r="C412" t="s">
        <v>19</v>
      </c>
      <c r="D412">
        <v>35278</v>
      </c>
      <c r="E412" t="s">
        <v>31</v>
      </c>
      <c r="F412" t="s">
        <v>32</v>
      </c>
      <c r="G412" t="s">
        <v>15</v>
      </c>
      <c r="H412">
        <v>3</v>
      </c>
      <c r="I412" t="s">
        <v>27</v>
      </c>
      <c r="J412" t="s">
        <v>17</v>
      </c>
      <c r="K412">
        <v>43</v>
      </c>
      <c r="L412" t="s">
        <v>30</v>
      </c>
      <c r="M412" t="s">
        <v>15</v>
      </c>
    </row>
    <row r="413" spans="1:13" x14ac:dyDescent="0.3">
      <c r="A413">
        <v>412</v>
      </c>
      <c r="B413" t="s">
        <v>40</v>
      </c>
      <c r="C413" t="s">
        <v>12</v>
      </c>
      <c r="D413">
        <v>75415</v>
      </c>
      <c r="E413" t="s">
        <v>13</v>
      </c>
      <c r="F413" t="s">
        <v>36</v>
      </c>
      <c r="G413" t="s">
        <v>22</v>
      </c>
      <c r="H413">
        <v>0</v>
      </c>
      <c r="I413" t="s">
        <v>23</v>
      </c>
      <c r="J413" t="s">
        <v>28</v>
      </c>
      <c r="K413">
        <v>32</v>
      </c>
      <c r="L413" t="s">
        <v>18</v>
      </c>
      <c r="M413" t="s">
        <v>22</v>
      </c>
    </row>
    <row r="414" spans="1:13" x14ac:dyDescent="0.3">
      <c r="A414">
        <v>413</v>
      </c>
      <c r="B414" t="s">
        <v>40</v>
      </c>
      <c r="C414" t="s">
        <v>19</v>
      </c>
      <c r="D414">
        <v>88363</v>
      </c>
      <c r="E414" t="s">
        <v>26</v>
      </c>
      <c r="F414" t="s">
        <v>35</v>
      </c>
      <c r="G414" t="s">
        <v>22</v>
      </c>
      <c r="H414">
        <v>0</v>
      </c>
      <c r="I414" t="s">
        <v>16</v>
      </c>
      <c r="J414" t="s">
        <v>34</v>
      </c>
      <c r="K414">
        <v>32</v>
      </c>
      <c r="L414" t="s">
        <v>18</v>
      </c>
      <c r="M414" t="s">
        <v>15</v>
      </c>
    </row>
    <row r="415" spans="1:13" x14ac:dyDescent="0.3">
      <c r="A415">
        <v>414</v>
      </c>
      <c r="B415" t="s">
        <v>40</v>
      </c>
      <c r="C415" t="s">
        <v>19</v>
      </c>
      <c r="D415">
        <v>23482</v>
      </c>
      <c r="E415" t="s">
        <v>20</v>
      </c>
      <c r="F415" t="s">
        <v>21</v>
      </c>
      <c r="G415" t="s">
        <v>15</v>
      </c>
      <c r="H415">
        <v>3</v>
      </c>
      <c r="I415" t="s">
        <v>23</v>
      </c>
      <c r="J415" t="s">
        <v>28</v>
      </c>
      <c r="K415">
        <v>44</v>
      </c>
      <c r="L415" t="s">
        <v>30</v>
      </c>
      <c r="M415" t="s">
        <v>15</v>
      </c>
    </row>
    <row r="416" spans="1:13" x14ac:dyDescent="0.3">
      <c r="A416">
        <v>415</v>
      </c>
      <c r="B416" t="s">
        <v>40</v>
      </c>
      <c r="C416" t="s">
        <v>19</v>
      </c>
      <c r="D416">
        <v>22894</v>
      </c>
      <c r="E416" t="s">
        <v>26</v>
      </c>
      <c r="F416" t="s">
        <v>14</v>
      </c>
      <c r="G416" t="s">
        <v>22</v>
      </c>
      <c r="H416">
        <v>0</v>
      </c>
      <c r="I416" t="s">
        <v>27</v>
      </c>
      <c r="J416" t="s">
        <v>28</v>
      </c>
      <c r="K416">
        <v>53</v>
      </c>
      <c r="L416" t="s">
        <v>29</v>
      </c>
      <c r="M416" t="s">
        <v>15</v>
      </c>
    </row>
    <row r="417" spans="1:13" x14ac:dyDescent="0.3">
      <c r="A417">
        <v>416</v>
      </c>
      <c r="B417" t="s">
        <v>40</v>
      </c>
      <c r="C417" t="s">
        <v>12</v>
      </c>
      <c r="D417">
        <v>41124</v>
      </c>
      <c r="E417" t="s">
        <v>13</v>
      </c>
      <c r="F417" t="s">
        <v>21</v>
      </c>
      <c r="G417" t="s">
        <v>15</v>
      </c>
      <c r="H417">
        <v>0</v>
      </c>
      <c r="I417" t="s">
        <v>23</v>
      </c>
      <c r="J417" t="s">
        <v>34</v>
      </c>
      <c r="K417">
        <v>50</v>
      </c>
      <c r="L417" t="s">
        <v>30</v>
      </c>
      <c r="M417" t="s">
        <v>15</v>
      </c>
    </row>
    <row r="418" spans="1:13" x14ac:dyDescent="0.3">
      <c r="A418">
        <v>417</v>
      </c>
      <c r="B418" t="s">
        <v>40</v>
      </c>
      <c r="C418" t="s">
        <v>19</v>
      </c>
      <c r="D418">
        <v>43173</v>
      </c>
      <c r="E418" t="s">
        <v>20</v>
      </c>
      <c r="F418" t="s">
        <v>36</v>
      </c>
      <c r="G418" t="s">
        <v>22</v>
      </c>
      <c r="H418">
        <v>1</v>
      </c>
      <c r="I418" t="s">
        <v>23</v>
      </c>
      <c r="J418" t="s">
        <v>17</v>
      </c>
      <c r="K418">
        <v>60</v>
      </c>
      <c r="L418" t="s">
        <v>29</v>
      </c>
      <c r="M418" t="s">
        <v>15</v>
      </c>
    </row>
    <row r="419" spans="1:13" x14ac:dyDescent="0.3">
      <c r="A419">
        <v>418</v>
      </c>
      <c r="B419" t="s">
        <v>40</v>
      </c>
      <c r="C419" t="s">
        <v>19</v>
      </c>
      <c r="D419">
        <v>109447</v>
      </c>
      <c r="E419" t="s">
        <v>26</v>
      </c>
      <c r="F419" t="s">
        <v>14</v>
      </c>
      <c r="G419" t="s">
        <v>15</v>
      </c>
      <c r="H419">
        <v>3</v>
      </c>
      <c r="I419" t="s">
        <v>37</v>
      </c>
      <c r="J419" t="s">
        <v>28</v>
      </c>
      <c r="K419">
        <v>20</v>
      </c>
      <c r="L419" t="s">
        <v>25</v>
      </c>
      <c r="M419" t="s">
        <v>15</v>
      </c>
    </row>
    <row r="420" spans="1:13" x14ac:dyDescent="0.3">
      <c r="A420">
        <v>419</v>
      </c>
      <c r="B420" t="s">
        <v>41</v>
      </c>
      <c r="C420" t="s">
        <v>12</v>
      </c>
      <c r="D420">
        <v>112852</v>
      </c>
      <c r="E420" t="s">
        <v>20</v>
      </c>
      <c r="F420" t="s">
        <v>32</v>
      </c>
      <c r="G420" t="s">
        <v>15</v>
      </c>
      <c r="H420">
        <v>2</v>
      </c>
      <c r="I420" t="s">
        <v>27</v>
      </c>
      <c r="J420" t="s">
        <v>28</v>
      </c>
      <c r="K420">
        <v>45</v>
      </c>
      <c r="L420" t="s">
        <v>30</v>
      </c>
      <c r="M420" t="s">
        <v>15</v>
      </c>
    </row>
    <row r="421" spans="1:13" x14ac:dyDescent="0.3">
      <c r="A421">
        <v>420</v>
      </c>
      <c r="B421" t="s">
        <v>41</v>
      </c>
      <c r="C421" t="s">
        <v>12</v>
      </c>
      <c r="D421">
        <v>90000</v>
      </c>
      <c r="E421" t="s">
        <v>31</v>
      </c>
      <c r="F421" t="s">
        <v>21</v>
      </c>
      <c r="G421" t="s">
        <v>15</v>
      </c>
      <c r="H421">
        <v>1</v>
      </c>
      <c r="I421" t="s">
        <v>27</v>
      </c>
      <c r="J421" t="s">
        <v>24</v>
      </c>
      <c r="K421">
        <v>21</v>
      </c>
      <c r="L421" t="s">
        <v>38</v>
      </c>
      <c r="M421" t="s">
        <v>22</v>
      </c>
    </row>
    <row r="422" spans="1:13" x14ac:dyDescent="0.3">
      <c r="A422">
        <v>421</v>
      </c>
      <c r="B422" t="s">
        <v>40</v>
      </c>
      <c r="C422" t="s">
        <v>19</v>
      </c>
      <c r="D422">
        <v>71086</v>
      </c>
      <c r="E422" t="s">
        <v>20</v>
      </c>
      <c r="F422" t="s">
        <v>35</v>
      </c>
      <c r="G422" t="s">
        <v>22</v>
      </c>
      <c r="H422">
        <v>2</v>
      </c>
      <c r="I422" t="s">
        <v>23</v>
      </c>
      <c r="J422" t="s">
        <v>24</v>
      </c>
      <c r="K422">
        <v>34</v>
      </c>
      <c r="L422" t="s">
        <v>18</v>
      </c>
      <c r="M422" t="s">
        <v>22</v>
      </c>
    </row>
    <row r="423" spans="1:13" x14ac:dyDescent="0.3">
      <c r="A423">
        <v>422</v>
      </c>
      <c r="B423" t="s">
        <v>41</v>
      </c>
      <c r="C423" t="s">
        <v>19</v>
      </c>
      <c r="D423">
        <v>87401</v>
      </c>
      <c r="E423" t="s">
        <v>31</v>
      </c>
      <c r="F423" t="s">
        <v>14</v>
      </c>
      <c r="G423" t="s">
        <v>22</v>
      </c>
      <c r="H423">
        <v>1</v>
      </c>
      <c r="I423" t="s">
        <v>27</v>
      </c>
      <c r="J423" t="s">
        <v>17</v>
      </c>
      <c r="K423">
        <v>18</v>
      </c>
      <c r="L423" t="s">
        <v>25</v>
      </c>
      <c r="M423" t="s">
        <v>15</v>
      </c>
    </row>
    <row r="424" spans="1:13" x14ac:dyDescent="0.3">
      <c r="A424">
        <v>423</v>
      </c>
      <c r="B424" t="s">
        <v>40</v>
      </c>
      <c r="C424" t="s">
        <v>12</v>
      </c>
      <c r="D424">
        <v>99836</v>
      </c>
      <c r="E424" t="s">
        <v>13</v>
      </c>
      <c r="F424" t="s">
        <v>35</v>
      </c>
      <c r="G424" t="s">
        <v>15</v>
      </c>
      <c r="H424">
        <v>1</v>
      </c>
      <c r="I424" t="s">
        <v>33</v>
      </c>
      <c r="J424" t="s">
        <v>28</v>
      </c>
      <c r="K424">
        <v>27</v>
      </c>
      <c r="L424" t="s">
        <v>38</v>
      </c>
      <c r="M424" t="s">
        <v>15</v>
      </c>
    </row>
    <row r="425" spans="1:13" x14ac:dyDescent="0.3">
      <c r="A425">
        <v>424</v>
      </c>
      <c r="B425" t="s">
        <v>41</v>
      </c>
      <c r="C425" t="s">
        <v>19</v>
      </c>
      <c r="D425">
        <v>30333</v>
      </c>
      <c r="E425" t="s">
        <v>26</v>
      </c>
      <c r="F425" t="s">
        <v>21</v>
      </c>
      <c r="G425" t="s">
        <v>22</v>
      </c>
      <c r="H425">
        <v>1</v>
      </c>
      <c r="I425" t="s">
        <v>37</v>
      </c>
      <c r="J425" t="s">
        <v>24</v>
      </c>
      <c r="K425">
        <v>56</v>
      </c>
      <c r="L425" t="s">
        <v>29</v>
      </c>
      <c r="M425" t="s">
        <v>15</v>
      </c>
    </row>
    <row r="426" spans="1:13" x14ac:dyDescent="0.3">
      <c r="A426">
        <v>425</v>
      </c>
      <c r="B426" t="s">
        <v>40</v>
      </c>
      <c r="C426" t="s">
        <v>12</v>
      </c>
      <c r="D426">
        <v>28713</v>
      </c>
      <c r="E426" t="s">
        <v>26</v>
      </c>
      <c r="F426" t="s">
        <v>35</v>
      </c>
      <c r="G426" t="s">
        <v>15</v>
      </c>
      <c r="H426">
        <v>0</v>
      </c>
      <c r="I426" t="s">
        <v>23</v>
      </c>
      <c r="J426" t="s">
        <v>24</v>
      </c>
      <c r="K426">
        <v>52</v>
      </c>
      <c r="L426" t="s">
        <v>29</v>
      </c>
      <c r="M426" t="s">
        <v>15</v>
      </c>
    </row>
    <row r="427" spans="1:13" x14ac:dyDescent="0.3">
      <c r="A427">
        <v>426</v>
      </c>
      <c r="B427" t="s">
        <v>40</v>
      </c>
      <c r="C427" t="s">
        <v>19</v>
      </c>
      <c r="D427">
        <v>78018</v>
      </c>
      <c r="E427" t="s">
        <v>20</v>
      </c>
      <c r="F427" t="s">
        <v>35</v>
      </c>
      <c r="G427" t="s">
        <v>22</v>
      </c>
      <c r="H427">
        <v>1</v>
      </c>
      <c r="I427" t="s">
        <v>23</v>
      </c>
      <c r="J427" t="s">
        <v>17</v>
      </c>
      <c r="K427">
        <v>32</v>
      </c>
      <c r="L427" t="s">
        <v>18</v>
      </c>
      <c r="M427" t="s">
        <v>22</v>
      </c>
    </row>
    <row r="428" spans="1:13" x14ac:dyDescent="0.3">
      <c r="A428">
        <v>427</v>
      </c>
      <c r="B428" t="s">
        <v>40</v>
      </c>
      <c r="C428" t="s">
        <v>12</v>
      </c>
      <c r="D428">
        <v>98058</v>
      </c>
      <c r="E428" t="s">
        <v>31</v>
      </c>
      <c r="F428" t="s">
        <v>32</v>
      </c>
      <c r="G428" t="s">
        <v>22</v>
      </c>
      <c r="H428">
        <v>0</v>
      </c>
      <c r="I428" t="s">
        <v>37</v>
      </c>
      <c r="J428" t="s">
        <v>24</v>
      </c>
      <c r="K428">
        <v>21</v>
      </c>
      <c r="L428" t="s">
        <v>38</v>
      </c>
      <c r="M428" t="s">
        <v>22</v>
      </c>
    </row>
    <row r="429" spans="1:13" x14ac:dyDescent="0.3">
      <c r="A429">
        <v>428</v>
      </c>
      <c r="B429" t="s">
        <v>40</v>
      </c>
      <c r="C429" t="s">
        <v>19</v>
      </c>
      <c r="D429">
        <v>76936</v>
      </c>
      <c r="E429" t="s">
        <v>20</v>
      </c>
      <c r="F429" t="s">
        <v>32</v>
      </c>
      <c r="G429" t="s">
        <v>15</v>
      </c>
      <c r="H429">
        <v>2</v>
      </c>
      <c r="I429" t="s">
        <v>27</v>
      </c>
      <c r="J429" t="s">
        <v>34</v>
      </c>
      <c r="K429">
        <v>19</v>
      </c>
      <c r="L429" t="s">
        <v>25</v>
      </c>
      <c r="M429" t="s">
        <v>22</v>
      </c>
    </row>
    <row r="430" spans="1:13" x14ac:dyDescent="0.3">
      <c r="A430">
        <v>429</v>
      </c>
      <c r="B430" t="s">
        <v>40</v>
      </c>
      <c r="C430" t="s">
        <v>12</v>
      </c>
      <c r="D430">
        <v>95167</v>
      </c>
      <c r="E430" t="s">
        <v>26</v>
      </c>
      <c r="F430" t="s">
        <v>21</v>
      </c>
      <c r="G430" t="s">
        <v>15</v>
      </c>
      <c r="H430">
        <v>0</v>
      </c>
      <c r="I430" t="s">
        <v>33</v>
      </c>
      <c r="J430" t="s">
        <v>17</v>
      </c>
      <c r="K430">
        <v>31</v>
      </c>
      <c r="L430" t="s">
        <v>18</v>
      </c>
      <c r="M430" t="s">
        <v>22</v>
      </c>
    </row>
    <row r="431" spans="1:13" x14ac:dyDescent="0.3">
      <c r="A431">
        <v>430</v>
      </c>
      <c r="B431" t="s">
        <v>40</v>
      </c>
      <c r="C431" t="s">
        <v>12</v>
      </c>
      <c r="D431">
        <v>113387</v>
      </c>
      <c r="E431" t="s">
        <v>26</v>
      </c>
      <c r="F431" t="s">
        <v>32</v>
      </c>
      <c r="G431" t="s">
        <v>22</v>
      </c>
      <c r="H431">
        <v>3</v>
      </c>
      <c r="I431" t="s">
        <v>37</v>
      </c>
      <c r="J431" t="s">
        <v>17</v>
      </c>
      <c r="K431">
        <v>43</v>
      </c>
      <c r="L431" t="s">
        <v>30</v>
      </c>
      <c r="M431" t="s">
        <v>15</v>
      </c>
    </row>
    <row r="432" spans="1:13" x14ac:dyDescent="0.3">
      <c r="A432">
        <v>431</v>
      </c>
      <c r="B432" t="s">
        <v>40</v>
      </c>
      <c r="C432" t="s">
        <v>19</v>
      </c>
      <c r="D432">
        <v>32451</v>
      </c>
      <c r="E432" t="s">
        <v>20</v>
      </c>
      <c r="F432" t="s">
        <v>35</v>
      </c>
      <c r="G432" t="s">
        <v>15</v>
      </c>
      <c r="H432">
        <v>1</v>
      </c>
      <c r="I432" t="s">
        <v>37</v>
      </c>
      <c r="J432" t="s">
        <v>17</v>
      </c>
      <c r="K432">
        <v>27</v>
      </c>
      <c r="L432" t="s">
        <v>38</v>
      </c>
      <c r="M432" t="s">
        <v>15</v>
      </c>
    </row>
    <row r="433" spans="1:13" x14ac:dyDescent="0.3">
      <c r="A433">
        <v>432</v>
      </c>
      <c r="B433" t="s">
        <v>40</v>
      </c>
      <c r="C433" t="s">
        <v>19</v>
      </c>
      <c r="D433">
        <v>109491</v>
      </c>
      <c r="E433" t="s">
        <v>31</v>
      </c>
      <c r="F433" t="s">
        <v>32</v>
      </c>
      <c r="G433" t="s">
        <v>15</v>
      </c>
      <c r="H433">
        <v>0</v>
      </c>
      <c r="I433" t="s">
        <v>37</v>
      </c>
      <c r="J433" t="s">
        <v>24</v>
      </c>
      <c r="K433">
        <v>39</v>
      </c>
      <c r="L433" t="s">
        <v>18</v>
      </c>
      <c r="M433" t="s">
        <v>15</v>
      </c>
    </row>
    <row r="434" spans="1:13" x14ac:dyDescent="0.3">
      <c r="A434">
        <v>433</v>
      </c>
      <c r="B434" t="s">
        <v>40</v>
      </c>
      <c r="C434" t="s">
        <v>12</v>
      </c>
      <c r="D434">
        <v>29685</v>
      </c>
      <c r="E434" t="s">
        <v>13</v>
      </c>
      <c r="F434" t="s">
        <v>21</v>
      </c>
      <c r="G434" t="s">
        <v>15</v>
      </c>
      <c r="H434">
        <v>2</v>
      </c>
      <c r="I434" t="s">
        <v>27</v>
      </c>
      <c r="J434" t="s">
        <v>24</v>
      </c>
      <c r="K434">
        <v>60</v>
      </c>
      <c r="L434" t="s">
        <v>29</v>
      </c>
      <c r="M434" t="s">
        <v>15</v>
      </c>
    </row>
    <row r="435" spans="1:13" x14ac:dyDescent="0.3">
      <c r="A435">
        <v>434</v>
      </c>
      <c r="B435" t="s">
        <v>40</v>
      </c>
      <c r="C435" t="s">
        <v>12</v>
      </c>
      <c r="D435">
        <v>20823</v>
      </c>
      <c r="E435" t="s">
        <v>20</v>
      </c>
      <c r="F435" t="s">
        <v>14</v>
      </c>
      <c r="G435" t="s">
        <v>15</v>
      </c>
      <c r="H435">
        <v>0</v>
      </c>
      <c r="I435" t="s">
        <v>23</v>
      </c>
      <c r="J435" t="s">
        <v>28</v>
      </c>
      <c r="K435">
        <v>57</v>
      </c>
      <c r="L435" t="s">
        <v>29</v>
      </c>
      <c r="M435" t="s">
        <v>15</v>
      </c>
    </row>
    <row r="436" spans="1:13" x14ac:dyDescent="0.3">
      <c r="A436">
        <v>435</v>
      </c>
      <c r="B436" t="s">
        <v>40</v>
      </c>
      <c r="C436" t="s">
        <v>12</v>
      </c>
      <c r="D436">
        <v>94402</v>
      </c>
      <c r="E436" t="s">
        <v>13</v>
      </c>
      <c r="F436" t="s">
        <v>32</v>
      </c>
      <c r="G436" t="s">
        <v>22</v>
      </c>
      <c r="H436">
        <v>0</v>
      </c>
      <c r="I436" t="s">
        <v>16</v>
      </c>
      <c r="J436" t="s">
        <v>34</v>
      </c>
      <c r="K436">
        <v>53</v>
      </c>
      <c r="L436" t="s">
        <v>29</v>
      </c>
      <c r="M436" t="s">
        <v>15</v>
      </c>
    </row>
    <row r="437" spans="1:13" x14ac:dyDescent="0.3">
      <c r="A437">
        <v>436</v>
      </c>
      <c r="B437" t="s">
        <v>40</v>
      </c>
      <c r="C437" t="s">
        <v>12</v>
      </c>
      <c r="D437">
        <v>73113</v>
      </c>
      <c r="E437" t="s">
        <v>13</v>
      </c>
      <c r="F437" t="s">
        <v>14</v>
      </c>
      <c r="G437" t="s">
        <v>22</v>
      </c>
      <c r="H437">
        <v>2</v>
      </c>
      <c r="I437" t="s">
        <v>37</v>
      </c>
      <c r="J437" t="s">
        <v>24</v>
      </c>
      <c r="K437">
        <v>60</v>
      </c>
      <c r="L437" t="s">
        <v>29</v>
      </c>
      <c r="M437" t="s">
        <v>15</v>
      </c>
    </row>
    <row r="438" spans="1:13" x14ac:dyDescent="0.3">
      <c r="A438">
        <v>437</v>
      </c>
      <c r="B438" t="s">
        <v>40</v>
      </c>
      <c r="C438" t="s">
        <v>12</v>
      </c>
      <c r="D438">
        <v>52863</v>
      </c>
      <c r="E438" t="s">
        <v>13</v>
      </c>
      <c r="F438" t="s">
        <v>14</v>
      </c>
      <c r="G438" t="s">
        <v>22</v>
      </c>
      <c r="H438">
        <v>1</v>
      </c>
      <c r="I438" t="s">
        <v>23</v>
      </c>
      <c r="J438" t="s">
        <v>17</v>
      </c>
      <c r="K438">
        <v>46</v>
      </c>
      <c r="L438" t="s">
        <v>30</v>
      </c>
      <c r="M438" t="s">
        <v>15</v>
      </c>
    </row>
    <row r="439" spans="1:13" x14ac:dyDescent="0.3">
      <c r="A439">
        <v>438</v>
      </c>
      <c r="B439" t="s">
        <v>40</v>
      </c>
      <c r="C439" t="s">
        <v>12</v>
      </c>
      <c r="D439">
        <v>76534</v>
      </c>
      <c r="E439" t="s">
        <v>13</v>
      </c>
      <c r="F439" t="s">
        <v>35</v>
      </c>
      <c r="G439" t="s">
        <v>15</v>
      </c>
      <c r="H439">
        <v>3</v>
      </c>
      <c r="I439" t="s">
        <v>37</v>
      </c>
      <c r="J439" t="s">
        <v>28</v>
      </c>
      <c r="K439">
        <v>34</v>
      </c>
      <c r="L439" t="s">
        <v>18</v>
      </c>
      <c r="M439" t="s">
        <v>15</v>
      </c>
    </row>
    <row r="440" spans="1:13" x14ac:dyDescent="0.3">
      <c r="A440">
        <v>439</v>
      </c>
      <c r="B440" t="s">
        <v>41</v>
      </c>
      <c r="C440" t="s">
        <v>19</v>
      </c>
      <c r="D440">
        <v>76030</v>
      </c>
      <c r="E440" t="s">
        <v>26</v>
      </c>
      <c r="F440" t="s">
        <v>36</v>
      </c>
      <c r="G440" t="s">
        <v>15</v>
      </c>
      <c r="H440">
        <v>3</v>
      </c>
      <c r="I440" t="s">
        <v>37</v>
      </c>
      <c r="J440" t="s">
        <v>17</v>
      </c>
      <c r="K440">
        <v>26</v>
      </c>
      <c r="L440" t="s">
        <v>38</v>
      </c>
      <c r="M440" t="s">
        <v>15</v>
      </c>
    </row>
    <row r="441" spans="1:13" x14ac:dyDescent="0.3">
      <c r="A441">
        <v>440</v>
      </c>
      <c r="B441" t="s">
        <v>40</v>
      </c>
      <c r="C441" t="s">
        <v>19</v>
      </c>
      <c r="D441">
        <v>54440</v>
      </c>
      <c r="E441" t="s">
        <v>31</v>
      </c>
      <c r="F441" t="s">
        <v>21</v>
      </c>
      <c r="G441" t="s">
        <v>22</v>
      </c>
      <c r="H441">
        <v>0</v>
      </c>
      <c r="I441" t="s">
        <v>37</v>
      </c>
      <c r="J441" t="s">
        <v>28</v>
      </c>
      <c r="K441">
        <v>44</v>
      </c>
      <c r="L441" t="s">
        <v>30</v>
      </c>
      <c r="M441" t="s">
        <v>15</v>
      </c>
    </row>
    <row r="442" spans="1:13" x14ac:dyDescent="0.3">
      <c r="A442">
        <v>441</v>
      </c>
      <c r="B442" t="s">
        <v>41</v>
      </c>
      <c r="C442" t="s">
        <v>19</v>
      </c>
      <c r="D442">
        <v>74275</v>
      </c>
      <c r="E442" t="s">
        <v>26</v>
      </c>
      <c r="F442" t="s">
        <v>32</v>
      </c>
      <c r="G442" t="s">
        <v>15</v>
      </c>
      <c r="H442">
        <v>2</v>
      </c>
      <c r="I442" t="s">
        <v>37</v>
      </c>
      <c r="J442" t="s">
        <v>28</v>
      </c>
      <c r="K442">
        <v>32</v>
      </c>
      <c r="L442" t="s">
        <v>18</v>
      </c>
      <c r="M442" t="s">
        <v>15</v>
      </c>
    </row>
    <row r="443" spans="1:13" x14ac:dyDescent="0.3">
      <c r="A443">
        <v>442</v>
      </c>
      <c r="B443" t="s">
        <v>40</v>
      </c>
      <c r="C443" t="s">
        <v>19</v>
      </c>
      <c r="D443">
        <v>26904</v>
      </c>
      <c r="E443" t="s">
        <v>20</v>
      </c>
      <c r="F443" t="s">
        <v>35</v>
      </c>
      <c r="G443" t="s">
        <v>15</v>
      </c>
      <c r="H443">
        <v>0</v>
      </c>
      <c r="I443" t="s">
        <v>16</v>
      </c>
      <c r="J443" t="s">
        <v>34</v>
      </c>
      <c r="K443">
        <v>33</v>
      </c>
      <c r="L443" t="s">
        <v>18</v>
      </c>
      <c r="M443" t="s">
        <v>15</v>
      </c>
    </row>
    <row r="444" spans="1:13" x14ac:dyDescent="0.3">
      <c r="A444">
        <v>443</v>
      </c>
      <c r="B444" t="s">
        <v>40</v>
      </c>
      <c r="C444" t="s">
        <v>19</v>
      </c>
      <c r="D444">
        <v>54405</v>
      </c>
      <c r="E444" t="s">
        <v>26</v>
      </c>
      <c r="F444" t="s">
        <v>14</v>
      </c>
      <c r="G444" t="s">
        <v>22</v>
      </c>
      <c r="H444">
        <v>2</v>
      </c>
      <c r="I444" t="s">
        <v>33</v>
      </c>
      <c r="J444" t="s">
        <v>28</v>
      </c>
      <c r="K444">
        <v>26</v>
      </c>
      <c r="L444" t="s">
        <v>38</v>
      </c>
      <c r="M444" t="s">
        <v>22</v>
      </c>
    </row>
    <row r="445" spans="1:13" x14ac:dyDescent="0.3">
      <c r="A445">
        <v>444</v>
      </c>
      <c r="B445" t="s">
        <v>41</v>
      </c>
      <c r="C445" t="s">
        <v>12</v>
      </c>
      <c r="D445">
        <v>68113</v>
      </c>
      <c r="E445" t="s">
        <v>20</v>
      </c>
      <c r="F445" t="s">
        <v>21</v>
      </c>
      <c r="G445" t="s">
        <v>22</v>
      </c>
      <c r="H445">
        <v>3</v>
      </c>
      <c r="I445" t="s">
        <v>33</v>
      </c>
      <c r="J445" t="s">
        <v>24</v>
      </c>
      <c r="K445">
        <v>58</v>
      </c>
      <c r="L445" t="s">
        <v>29</v>
      </c>
      <c r="M445" t="s">
        <v>15</v>
      </c>
    </row>
    <row r="446" spans="1:13" x14ac:dyDescent="0.3">
      <c r="A446">
        <v>445</v>
      </c>
      <c r="B446" t="s">
        <v>41</v>
      </c>
      <c r="C446" t="s">
        <v>19</v>
      </c>
      <c r="D446">
        <v>86923</v>
      </c>
      <c r="E446" t="s">
        <v>13</v>
      </c>
      <c r="F446" t="s">
        <v>21</v>
      </c>
      <c r="G446" t="s">
        <v>22</v>
      </c>
      <c r="H446">
        <v>0</v>
      </c>
      <c r="I446" t="s">
        <v>16</v>
      </c>
      <c r="J446" t="s">
        <v>17</v>
      </c>
      <c r="K446">
        <v>41</v>
      </c>
      <c r="L446" t="s">
        <v>30</v>
      </c>
      <c r="M446" t="s">
        <v>22</v>
      </c>
    </row>
    <row r="447" spans="1:13" x14ac:dyDescent="0.3">
      <c r="A447">
        <v>446</v>
      </c>
      <c r="B447" t="s">
        <v>40</v>
      </c>
      <c r="C447" t="s">
        <v>19</v>
      </c>
      <c r="D447">
        <v>37614</v>
      </c>
      <c r="E447" t="s">
        <v>26</v>
      </c>
      <c r="F447" t="s">
        <v>14</v>
      </c>
      <c r="G447" t="s">
        <v>22</v>
      </c>
      <c r="H447">
        <v>3</v>
      </c>
      <c r="I447" t="s">
        <v>27</v>
      </c>
      <c r="J447" t="s">
        <v>28</v>
      </c>
      <c r="K447">
        <v>31</v>
      </c>
      <c r="L447" t="s">
        <v>18</v>
      </c>
      <c r="M447" t="s">
        <v>15</v>
      </c>
    </row>
    <row r="448" spans="1:13" x14ac:dyDescent="0.3">
      <c r="A448">
        <v>447</v>
      </c>
      <c r="B448" t="s">
        <v>41</v>
      </c>
      <c r="C448" t="s">
        <v>12</v>
      </c>
      <c r="D448">
        <v>40452</v>
      </c>
      <c r="E448" t="s">
        <v>31</v>
      </c>
      <c r="F448" t="s">
        <v>32</v>
      </c>
      <c r="G448" t="s">
        <v>22</v>
      </c>
      <c r="H448">
        <v>0</v>
      </c>
      <c r="I448" t="s">
        <v>33</v>
      </c>
      <c r="J448" t="s">
        <v>28</v>
      </c>
      <c r="K448">
        <v>25</v>
      </c>
      <c r="L448" t="s">
        <v>38</v>
      </c>
      <c r="M448" t="s">
        <v>15</v>
      </c>
    </row>
    <row r="449" spans="1:13" x14ac:dyDescent="0.3">
      <c r="A449">
        <v>448</v>
      </c>
      <c r="B449" t="s">
        <v>40</v>
      </c>
      <c r="C449" t="s">
        <v>12</v>
      </c>
      <c r="D449">
        <v>22443</v>
      </c>
      <c r="E449" t="s">
        <v>20</v>
      </c>
      <c r="F449" t="s">
        <v>32</v>
      </c>
      <c r="G449" t="s">
        <v>22</v>
      </c>
      <c r="H449">
        <v>1</v>
      </c>
      <c r="I449" t="s">
        <v>27</v>
      </c>
      <c r="J449" t="s">
        <v>28</v>
      </c>
      <c r="K449">
        <v>28</v>
      </c>
      <c r="L449" t="s">
        <v>38</v>
      </c>
      <c r="M449" t="s">
        <v>15</v>
      </c>
    </row>
    <row r="450" spans="1:13" x14ac:dyDescent="0.3">
      <c r="A450">
        <v>449</v>
      </c>
      <c r="B450" t="s">
        <v>41</v>
      </c>
      <c r="C450" t="s">
        <v>19</v>
      </c>
      <c r="D450">
        <v>43700</v>
      </c>
      <c r="E450" t="s">
        <v>20</v>
      </c>
      <c r="F450" t="s">
        <v>36</v>
      </c>
      <c r="G450" t="s">
        <v>22</v>
      </c>
      <c r="H450">
        <v>1</v>
      </c>
      <c r="I450" t="s">
        <v>27</v>
      </c>
      <c r="J450" t="s">
        <v>24</v>
      </c>
      <c r="K450">
        <v>32</v>
      </c>
      <c r="L450" t="s">
        <v>18</v>
      </c>
      <c r="M450" t="s">
        <v>15</v>
      </c>
    </row>
    <row r="451" spans="1:13" x14ac:dyDescent="0.3">
      <c r="A451">
        <v>450</v>
      </c>
      <c r="B451" t="s">
        <v>41</v>
      </c>
      <c r="C451" t="s">
        <v>19</v>
      </c>
      <c r="D451">
        <v>42081</v>
      </c>
      <c r="E451" t="s">
        <v>20</v>
      </c>
      <c r="F451" t="s">
        <v>35</v>
      </c>
      <c r="G451" t="s">
        <v>22</v>
      </c>
      <c r="H451">
        <v>3</v>
      </c>
      <c r="I451" t="s">
        <v>33</v>
      </c>
      <c r="J451" t="s">
        <v>34</v>
      </c>
      <c r="K451">
        <v>42</v>
      </c>
      <c r="L451" t="s">
        <v>30</v>
      </c>
      <c r="M451" t="s">
        <v>15</v>
      </c>
    </row>
    <row r="452" spans="1:13" x14ac:dyDescent="0.3">
      <c r="A452">
        <v>451</v>
      </c>
      <c r="B452" t="s">
        <v>41</v>
      </c>
      <c r="C452" t="s">
        <v>19</v>
      </c>
      <c r="D452">
        <v>90726</v>
      </c>
      <c r="E452" t="s">
        <v>13</v>
      </c>
      <c r="F452" t="s">
        <v>32</v>
      </c>
      <c r="G452" t="s">
        <v>22</v>
      </c>
      <c r="H452">
        <v>1</v>
      </c>
      <c r="I452" t="s">
        <v>23</v>
      </c>
      <c r="J452" t="s">
        <v>34</v>
      </c>
      <c r="K452">
        <v>32</v>
      </c>
      <c r="L452" t="s">
        <v>18</v>
      </c>
      <c r="M452" t="s">
        <v>15</v>
      </c>
    </row>
    <row r="453" spans="1:13" x14ac:dyDescent="0.3">
      <c r="A453">
        <v>452</v>
      </c>
      <c r="B453" t="s">
        <v>41</v>
      </c>
      <c r="C453" t="s">
        <v>12</v>
      </c>
      <c r="D453">
        <v>108223</v>
      </c>
      <c r="E453" t="s">
        <v>26</v>
      </c>
      <c r="F453" t="s">
        <v>36</v>
      </c>
      <c r="G453" t="s">
        <v>15</v>
      </c>
      <c r="H453">
        <v>1</v>
      </c>
      <c r="I453" t="s">
        <v>27</v>
      </c>
      <c r="J453" t="s">
        <v>17</v>
      </c>
      <c r="K453">
        <v>46</v>
      </c>
      <c r="L453" t="s">
        <v>30</v>
      </c>
      <c r="M453" t="s">
        <v>15</v>
      </c>
    </row>
    <row r="454" spans="1:13" x14ac:dyDescent="0.3">
      <c r="A454">
        <v>453</v>
      </c>
      <c r="B454" t="s">
        <v>41</v>
      </c>
      <c r="C454" t="s">
        <v>19</v>
      </c>
      <c r="D454">
        <v>117722</v>
      </c>
      <c r="E454" t="s">
        <v>31</v>
      </c>
      <c r="F454" t="s">
        <v>14</v>
      </c>
      <c r="G454" t="s">
        <v>15</v>
      </c>
      <c r="H454">
        <v>2</v>
      </c>
      <c r="I454" t="s">
        <v>37</v>
      </c>
      <c r="J454" t="s">
        <v>28</v>
      </c>
      <c r="K454">
        <v>42</v>
      </c>
      <c r="L454" t="s">
        <v>30</v>
      </c>
      <c r="M454" t="s">
        <v>22</v>
      </c>
    </row>
    <row r="455" spans="1:13" x14ac:dyDescent="0.3">
      <c r="A455">
        <v>454</v>
      </c>
      <c r="B455" t="s">
        <v>41</v>
      </c>
      <c r="C455" t="s">
        <v>19</v>
      </c>
      <c r="D455">
        <v>35093</v>
      </c>
      <c r="E455" t="s">
        <v>13</v>
      </c>
      <c r="F455" t="s">
        <v>14</v>
      </c>
      <c r="G455" t="s">
        <v>15</v>
      </c>
      <c r="H455">
        <v>3</v>
      </c>
      <c r="I455" t="s">
        <v>16</v>
      </c>
      <c r="J455" t="s">
        <v>28</v>
      </c>
      <c r="K455">
        <v>46</v>
      </c>
      <c r="L455" t="s">
        <v>30</v>
      </c>
      <c r="M455" t="s">
        <v>15</v>
      </c>
    </row>
    <row r="456" spans="1:13" x14ac:dyDescent="0.3">
      <c r="A456">
        <v>455</v>
      </c>
      <c r="B456" t="s">
        <v>41</v>
      </c>
      <c r="C456" t="s">
        <v>19</v>
      </c>
      <c r="D456">
        <v>93931</v>
      </c>
      <c r="E456" t="s">
        <v>13</v>
      </c>
      <c r="F456" t="s">
        <v>21</v>
      </c>
      <c r="G456" t="s">
        <v>15</v>
      </c>
      <c r="H456">
        <v>2</v>
      </c>
      <c r="I456" t="s">
        <v>33</v>
      </c>
      <c r="J456" t="s">
        <v>34</v>
      </c>
      <c r="K456">
        <v>56</v>
      </c>
      <c r="L456" t="s">
        <v>29</v>
      </c>
      <c r="M456" t="s">
        <v>15</v>
      </c>
    </row>
    <row r="457" spans="1:13" x14ac:dyDescent="0.3">
      <c r="A457">
        <v>456</v>
      </c>
      <c r="B457" t="s">
        <v>41</v>
      </c>
      <c r="C457" t="s">
        <v>12</v>
      </c>
      <c r="D457">
        <v>48066</v>
      </c>
      <c r="E457" t="s">
        <v>13</v>
      </c>
      <c r="F457" t="s">
        <v>35</v>
      </c>
      <c r="G457" t="s">
        <v>15</v>
      </c>
      <c r="H457">
        <v>3</v>
      </c>
      <c r="I457" t="s">
        <v>27</v>
      </c>
      <c r="J457" t="s">
        <v>28</v>
      </c>
      <c r="K457">
        <v>44</v>
      </c>
      <c r="L457" t="s">
        <v>30</v>
      </c>
      <c r="M457" t="s">
        <v>15</v>
      </c>
    </row>
    <row r="458" spans="1:13" x14ac:dyDescent="0.3">
      <c r="A458">
        <v>457</v>
      </c>
      <c r="B458" t="s">
        <v>41</v>
      </c>
      <c r="C458" t="s">
        <v>12</v>
      </c>
      <c r="D458">
        <v>46677</v>
      </c>
      <c r="E458" t="s">
        <v>31</v>
      </c>
      <c r="F458" t="s">
        <v>36</v>
      </c>
      <c r="G458" t="s">
        <v>15</v>
      </c>
      <c r="H458">
        <v>0</v>
      </c>
      <c r="I458" t="s">
        <v>23</v>
      </c>
      <c r="J458" t="s">
        <v>28</v>
      </c>
      <c r="K458">
        <v>29</v>
      </c>
      <c r="L458" t="s">
        <v>38</v>
      </c>
      <c r="M458" t="s">
        <v>15</v>
      </c>
    </row>
    <row r="459" spans="1:13" x14ac:dyDescent="0.3">
      <c r="A459">
        <v>458</v>
      </c>
      <c r="B459" t="s">
        <v>41</v>
      </c>
      <c r="C459" t="s">
        <v>12</v>
      </c>
      <c r="D459">
        <v>89020</v>
      </c>
      <c r="E459" t="s">
        <v>13</v>
      </c>
      <c r="F459" t="s">
        <v>32</v>
      </c>
      <c r="G459" t="s">
        <v>15</v>
      </c>
      <c r="H459">
        <v>2</v>
      </c>
      <c r="I459" t="s">
        <v>23</v>
      </c>
      <c r="J459" t="s">
        <v>28</v>
      </c>
      <c r="K459">
        <v>28</v>
      </c>
      <c r="L459" t="s">
        <v>38</v>
      </c>
      <c r="M459" t="s">
        <v>22</v>
      </c>
    </row>
    <row r="460" spans="1:13" x14ac:dyDescent="0.3">
      <c r="A460">
        <v>459</v>
      </c>
      <c r="B460" t="s">
        <v>41</v>
      </c>
      <c r="C460" t="s">
        <v>12</v>
      </c>
      <c r="D460">
        <v>21423</v>
      </c>
      <c r="E460" t="s">
        <v>31</v>
      </c>
      <c r="F460" t="s">
        <v>21</v>
      </c>
      <c r="G460" t="s">
        <v>15</v>
      </c>
      <c r="H460">
        <v>0</v>
      </c>
      <c r="I460" t="s">
        <v>33</v>
      </c>
      <c r="J460" t="s">
        <v>28</v>
      </c>
      <c r="K460">
        <v>28</v>
      </c>
      <c r="L460" t="s">
        <v>38</v>
      </c>
      <c r="M460" t="s">
        <v>15</v>
      </c>
    </row>
    <row r="461" spans="1:13" x14ac:dyDescent="0.3">
      <c r="A461">
        <v>460</v>
      </c>
      <c r="B461" t="s">
        <v>41</v>
      </c>
      <c r="C461" t="s">
        <v>19</v>
      </c>
      <c r="D461">
        <v>51662</v>
      </c>
      <c r="E461" t="s">
        <v>20</v>
      </c>
      <c r="F461" t="s">
        <v>35</v>
      </c>
      <c r="G461" t="s">
        <v>15</v>
      </c>
      <c r="H461">
        <v>0</v>
      </c>
      <c r="I461" t="s">
        <v>37</v>
      </c>
      <c r="J461" t="s">
        <v>17</v>
      </c>
      <c r="K461">
        <v>38</v>
      </c>
      <c r="L461" t="s">
        <v>18</v>
      </c>
      <c r="M461" t="s">
        <v>22</v>
      </c>
    </row>
    <row r="462" spans="1:13" x14ac:dyDescent="0.3">
      <c r="A462">
        <v>461</v>
      </c>
      <c r="B462" t="s">
        <v>41</v>
      </c>
      <c r="C462" t="s">
        <v>12</v>
      </c>
      <c r="D462">
        <v>105137</v>
      </c>
      <c r="E462" t="s">
        <v>20</v>
      </c>
      <c r="F462" t="s">
        <v>32</v>
      </c>
      <c r="G462" t="s">
        <v>15</v>
      </c>
      <c r="H462">
        <v>2</v>
      </c>
      <c r="I462" t="s">
        <v>33</v>
      </c>
      <c r="J462" t="s">
        <v>34</v>
      </c>
      <c r="K462">
        <v>54</v>
      </c>
      <c r="L462" t="s">
        <v>29</v>
      </c>
      <c r="M462" t="s">
        <v>15</v>
      </c>
    </row>
    <row r="463" spans="1:13" x14ac:dyDescent="0.3">
      <c r="A463">
        <v>462</v>
      </c>
      <c r="B463" t="s">
        <v>41</v>
      </c>
      <c r="C463" t="s">
        <v>19</v>
      </c>
      <c r="D463">
        <v>56981</v>
      </c>
      <c r="E463" t="s">
        <v>26</v>
      </c>
      <c r="F463" t="s">
        <v>14</v>
      </c>
      <c r="G463" t="s">
        <v>15</v>
      </c>
      <c r="H463">
        <v>3</v>
      </c>
      <c r="I463" t="s">
        <v>37</v>
      </c>
      <c r="J463" t="s">
        <v>17</v>
      </c>
      <c r="K463">
        <v>45</v>
      </c>
      <c r="L463" t="s">
        <v>30</v>
      </c>
      <c r="M463" t="s">
        <v>15</v>
      </c>
    </row>
    <row r="464" spans="1:13" x14ac:dyDescent="0.3">
      <c r="A464">
        <v>463</v>
      </c>
      <c r="B464" t="s">
        <v>41</v>
      </c>
      <c r="C464" t="s">
        <v>19</v>
      </c>
      <c r="D464">
        <v>92822</v>
      </c>
      <c r="E464" t="s">
        <v>31</v>
      </c>
      <c r="F464" t="s">
        <v>14</v>
      </c>
      <c r="G464" t="s">
        <v>15</v>
      </c>
      <c r="H464">
        <v>2</v>
      </c>
      <c r="I464" t="s">
        <v>37</v>
      </c>
      <c r="J464" t="s">
        <v>34</v>
      </c>
      <c r="K464">
        <v>18</v>
      </c>
      <c r="L464" t="s">
        <v>25</v>
      </c>
      <c r="M464" t="s">
        <v>22</v>
      </c>
    </row>
    <row r="465" spans="1:13" x14ac:dyDescent="0.3">
      <c r="A465">
        <v>464</v>
      </c>
      <c r="B465" t="s">
        <v>41</v>
      </c>
      <c r="C465" t="s">
        <v>19</v>
      </c>
      <c r="D465">
        <v>25981</v>
      </c>
      <c r="E465" t="s">
        <v>31</v>
      </c>
      <c r="F465" t="s">
        <v>21</v>
      </c>
      <c r="G465" t="s">
        <v>22</v>
      </c>
      <c r="H465">
        <v>0</v>
      </c>
      <c r="I465" t="s">
        <v>37</v>
      </c>
      <c r="J465" t="s">
        <v>34</v>
      </c>
      <c r="K465">
        <v>54</v>
      </c>
      <c r="L465" t="s">
        <v>29</v>
      </c>
      <c r="M465" t="s">
        <v>15</v>
      </c>
    </row>
    <row r="466" spans="1:13" x14ac:dyDescent="0.3">
      <c r="A466">
        <v>465</v>
      </c>
      <c r="B466" t="s">
        <v>41</v>
      </c>
      <c r="C466" t="s">
        <v>19</v>
      </c>
      <c r="D466">
        <v>92812</v>
      </c>
      <c r="E466" t="s">
        <v>13</v>
      </c>
      <c r="F466" t="s">
        <v>36</v>
      </c>
      <c r="G466" t="s">
        <v>15</v>
      </c>
      <c r="H466">
        <v>3</v>
      </c>
      <c r="I466" t="s">
        <v>16</v>
      </c>
      <c r="J466" t="s">
        <v>34</v>
      </c>
      <c r="K466">
        <v>53</v>
      </c>
      <c r="L466" t="s">
        <v>29</v>
      </c>
      <c r="M466" t="s">
        <v>15</v>
      </c>
    </row>
    <row r="467" spans="1:13" x14ac:dyDescent="0.3">
      <c r="A467">
        <v>466</v>
      </c>
      <c r="B467" t="s">
        <v>41</v>
      </c>
      <c r="C467" t="s">
        <v>19</v>
      </c>
      <c r="D467">
        <v>106123</v>
      </c>
      <c r="E467" t="s">
        <v>31</v>
      </c>
      <c r="F467" t="s">
        <v>21</v>
      </c>
      <c r="G467" t="s">
        <v>22</v>
      </c>
      <c r="H467">
        <v>3</v>
      </c>
      <c r="I467" t="s">
        <v>16</v>
      </c>
      <c r="J467" t="s">
        <v>17</v>
      </c>
      <c r="K467">
        <v>27</v>
      </c>
      <c r="L467" t="s">
        <v>38</v>
      </c>
      <c r="M467" t="s">
        <v>15</v>
      </c>
    </row>
    <row r="468" spans="1:13" x14ac:dyDescent="0.3">
      <c r="A468">
        <v>467</v>
      </c>
      <c r="B468" t="s">
        <v>41</v>
      </c>
      <c r="C468" t="s">
        <v>19</v>
      </c>
      <c r="D468">
        <v>58515</v>
      </c>
      <c r="E468" t="s">
        <v>20</v>
      </c>
      <c r="F468" t="s">
        <v>36</v>
      </c>
      <c r="G468" t="s">
        <v>15</v>
      </c>
      <c r="H468">
        <v>0</v>
      </c>
      <c r="I468" t="s">
        <v>37</v>
      </c>
      <c r="J468" t="s">
        <v>17</v>
      </c>
      <c r="K468">
        <v>51</v>
      </c>
      <c r="L468" t="s">
        <v>29</v>
      </c>
      <c r="M468" t="s">
        <v>15</v>
      </c>
    </row>
    <row r="469" spans="1:13" x14ac:dyDescent="0.3">
      <c r="A469">
        <v>468</v>
      </c>
      <c r="B469" t="s">
        <v>40</v>
      </c>
      <c r="C469" t="s">
        <v>19</v>
      </c>
      <c r="D469">
        <v>107515</v>
      </c>
      <c r="E469" t="s">
        <v>26</v>
      </c>
      <c r="F469" t="s">
        <v>14</v>
      </c>
      <c r="G469" t="s">
        <v>22</v>
      </c>
      <c r="H469">
        <v>1</v>
      </c>
      <c r="I469" t="s">
        <v>16</v>
      </c>
      <c r="J469" t="s">
        <v>34</v>
      </c>
      <c r="K469">
        <v>52</v>
      </c>
      <c r="L469" t="s">
        <v>29</v>
      </c>
      <c r="M469" t="s">
        <v>15</v>
      </c>
    </row>
    <row r="470" spans="1:13" x14ac:dyDescent="0.3">
      <c r="A470">
        <v>469</v>
      </c>
      <c r="B470" t="s">
        <v>41</v>
      </c>
      <c r="C470" t="s">
        <v>19</v>
      </c>
      <c r="D470">
        <v>23747</v>
      </c>
      <c r="E470" t="s">
        <v>26</v>
      </c>
      <c r="F470" t="s">
        <v>32</v>
      </c>
      <c r="G470" t="s">
        <v>15</v>
      </c>
      <c r="H470">
        <v>2</v>
      </c>
      <c r="I470" t="s">
        <v>37</v>
      </c>
      <c r="J470" t="s">
        <v>24</v>
      </c>
      <c r="K470">
        <v>38</v>
      </c>
      <c r="L470" t="s">
        <v>18</v>
      </c>
      <c r="M470" t="s">
        <v>15</v>
      </c>
    </row>
    <row r="471" spans="1:13" x14ac:dyDescent="0.3">
      <c r="A471">
        <v>470</v>
      </c>
      <c r="B471" t="s">
        <v>41</v>
      </c>
      <c r="C471" t="s">
        <v>19</v>
      </c>
      <c r="D471">
        <v>32459</v>
      </c>
      <c r="E471" t="s">
        <v>31</v>
      </c>
      <c r="F471" t="s">
        <v>21</v>
      </c>
      <c r="G471" t="s">
        <v>22</v>
      </c>
      <c r="H471">
        <v>1</v>
      </c>
      <c r="I471" t="s">
        <v>16</v>
      </c>
      <c r="J471" t="s">
        <v>34</v>
      </c>
      <c r="K471">
        <v>57</v>
      </c>
      <c r="L471" t="s">
        <v>29</v>
      </c>
      <c r="M471" t="s">
        <v>15</v>
      </c>
    </row>
    <row r="472" spans="1:13" x14ac:dyDescent="0.3">
      <c r="A472">
        <v>471</v>
      </c>
      <c r="B472" t="s">
        <v>41</v>
      </c>
      <c r="C472" t="s">
        <v>12</v>
      </c>
      <c r="D472">
        <v>66406</v>
      </c>
      <c r="E472" t="s">
        <v>31</v>
      </c>
      <c r="F472" t="s">
        <v>32</v>
      </c>
      <c r="G472" t="s">
        <v>15</v>
      </c>
      <c r="H472">
        <v>3</v>
      </c>
      <c r="I472" t="s">
        <v>16</v>
      </c>
      <c r="J472" t="s">
        <v>34</v>
      </c>
      <c r="K472">
        <v>36</v>
      </c>
      <c r="L472" t="s">
        <v>18</v>
      </c>
      <c r="M472" t="s">
        <v>15</v>
      </c>
    </row>
    <row r="473" spans="1:13" x14ac:dyDescent="0.3">
      <c r="A473">
        <v>472</v>
      </c>
      <c r="B473" t="s">
        <v>41</v>
      </c>
      <c r="C473" t="s">
        <v>12</v>
      </c>
      <c r="D473">
        <v>112303</v>
      </c>
      <c r="E473" t="s">
        <v>13</v>
      </c>
      <c r="F473" t="s">
        <v>36</v>
      </c>
      <c r="G473" t="s">
        <v>15</v>
      </c>
      <c r="H473">
        <v>3</v>
      </c>
      <c r="I473" t="s">
        <v>33</v>
      </c>
      <c r="J473" t="s">
        <v>34</v>
      </c>
      <c r="K473">
        <v>33</v>
      </c>
      <c r="L473" t="s">
        <v>18</v>
      </c>
      <c r="M473" t="s">
        <v>15</v>
      </c>
    </row>
    <row r="474" spans="1:13" x14ac:dyDescent="0.3">
      <c r="A474">
        <v>473</v>
      </c>
      <c r="B474" t="s">
        <v>41</v>
      </c>
      <c r="C474" t="s">
        <v>19</v>
      </c>
      <c r="D474">
        <v>37640</v>
      </c>
      <c r="E474" t="s">
        <v>20</v>
      </c>
      <c r="F474" t="s">
        <v>36</v>
      </c>
      <c r="G474" t="s">
        <v>22</v>
      </c>
      <c r="H474">
        <v>1</v>
      </c>
      <c r="I474" t="s">
        <v>37</v>
      </c>
      <c r="J474" t="s">
        <v>17</v>
      </c>
      <c r="K474">
        <v>27</v>
      </c>
      <c r="L474" t="s">
        <v>38</v>
      </c>
      <c r="M474" t="s">
        <v>15</v>
      </c>
    </row>
    <row r="475" spans="1:13" x14ac:dyDescent="0.3">
      <c r="A475">
        <v>474</v>
      </c>
      <c r="B475" t="s">
        <v>41</v>
      </c>
      <c r="C475" t="s">
        <v>12</v>
      </c>
      <c r="D475">
        <v>103927</v>
      </c>
      <c r="E475" t="s">
        <v>31</v>
      </c>
      <c r="F475" t="s">
        <v>14</v>
      </c>
      <c r="G475" t="s">
        <v>15</v>
      </c>
      <c r="H475">
        <v>1</v>
      </c>
      <c r="I475" t="s">
        <v>33</v>
      </c>
      <c r="J475" t="s">
        <v>28</v>
      </c>
      <c r="K475">
        <v>24</v>
      </c>
      <c r="L475" t="s">
        <v>38</v>
      </c>
      <c r="M475" t="s">
        <v>22</v>
      </c>
    </row>
    <row r="476" spans="1:13" x14ac:dyDescent="0.3">
      <c r="A476">
        <v>475</v>
      </c>
      <c r="B476" t="s">
        <v>41</v>
      </c>
      <c r="C476" t="s">
        <v>12</v>
      </c>
      <c r="D476">
        <v>43434</v>
      </c>
      <c r="E476" t="s">
        <v>20</v>
      </c>
      <c r="F476" t="s">
        <v>36</v>
      </c>
      <c r="G476" t="s">
        <v>15</v>
      </c>
      <c r="H476">
        <v>0</v>
      </c>
      <c r="I476" t="s">
        <v>23</v>
      </c>
      <c r="J476" t="s">
        <v>28</v>
      </c>
      <c r="K476">
        <v>50</v>
      </c>
      <c r="L476" t="s">
        <v>30</v>
      </c>
      <c r="M476" t="s">
        <v>15</v>
      </c>
    </row>
    <row r="477" spans="1:13" x14ac:dyDescent="0.3">
      <c r="A477">
        <v>476</v>
      </c>
      <c r="B477" t="s">
        <v>41</v>
      </c>
      <c r="C477" t="s">
        <v>12</v>
      </c>
      <c r="D477">
        <v>91926</v>
      </c>
      <c r="E477" t="s">
        <v>20</v>
      </c>
      <c r="F477" t="s">
        <v>32</v>
      </c>
      <c r="G477" t="s">
        <v>15</v>
      </c>
      <c r="H477">
        <v>3</v>
      </c>
      <c r="I477" t="s">
        <v>37</v>
      </c>
      <c r="J477" t="s">
        <v>34</v>
      </c>
      <c r="K477">
        <v>37</v>
      </c>
      <c r="L477" t="s">
        <v>18</v>
      </c>
      <c r="M477" t="s">
        <v>15</v>
      </c>
    </row>
    <row r="478" spans="1:13" x14ac:dyDescent="0.3">
      <c r="A478">
        <v>477</v>
      </c>
      <c r="B478" t="s">
        <v>41</v>
      </c>
      <c r="C478" t="s">
        <v>12</v>
      </c>
      <c r="D478">
        <v>43575</v>
      </c>
      <c r="E478" t="s">
        <v>26</v>
      </c>
      <c r="F478" t="s">
        <v>21</v>
      </c>
      <c r="G478" t="s">
        <v>15</v>
      </c>
      <c r="H478">
        <v>2</v>
      </c>
      <c r="I478" t="s">
        <v>33</v>
      </c>
      <c r="J478" t="s">
        <v>24</v>
      </c>
      <c r="K478">
        <v>41</v>
      </c>
      <c r="L478" t="s">
        <v>30</v>
      </c>
      <c r="M478" t="s">
        <v>15</v>
      </c>
    </row>
    <row r="479" spans="1:13" x14ac:dyDescent="0.3">
      <c r="A479">
        <v>478</v>
      </c>
      <c r="B479" t="s">
        <v>41</v>
      </c>
      <c r="C479" t="s">
        <v>12</v>
      </c>
      <c r="D479">
        <v>103189</v>
      </c>
      <c r="E479" t="s">
        <v>26</v>
      </c>
      <c r="F479" t="s">
        <v>32</v>
      </c>
      <c r="G479" t="s">
        <v>15</v>
      </c>
      <c r="H479">
        <v>2</v>
      </c>
      <c r="I479" t="s">
        <v>23</v>
      </c>
      <c r="J479" t="s">
        <v>17</v>
      </c>
      <c r="K479">
        <v>44</v>
      </c>
      <c r="L479" t="s">
        <v>30</v>
      </c>
      <c r="M479" t="s">
        <v>22</v>
      </c>
    </row>
    <row r="480" spans="1:13" x14ac:dyDescent="0.3">
      <c r="A480">
        <v>479</v>
      </c>
      <c r="B480" t="s">
        <v>40</v>
      </c>
      <c r="C480" t="s">
        <v>19</v>
      </c>
      <c r="D480">
        <v>59275</v>
      </c>
      <c r="E480" t="s">
        <v>26</v>
      </c>
      <c r="F480" t="s">
        <v>36</v>
      </c>
      <c r="G480" t="s">
        <v>22</v>
      </c>
      <c r="H480">
        <v>2</v>
      </c>
      <c r="I480" t="s">
        <v>27</v>
      </c>
      <c r="J480" t="s">
        <v>34</v>
      </c>
      <c r="K480">
        <v>36</v>
      </c>
      <c r="L480" t="s">
        <v>18</v>
      </c>
      <c r="M480" t="s">
        <v>22</v>
      </c>
    </row>
    <row r="481" spans="1:13" x14ac:dyDescent="0.3">
      <c r="A481">
        <v>480</v>
      </c>
      <c r="B481" t="s">
        <v>41</v>
      </c>
      <c r="C481" t="s">
        <v>12</v>
      </c>
      <c r="D481">
        <v>37840</v>
      </c>
      <c r="E481" t="s">
        <v>20</v>
      </c>
      <c r="F481" t="s">
        <v>35</v>
      </c>
      <c r="G481" t="s">
        <v>15</v>
      </c>
      <c r="H481">
        <v>3</v>
      </c>
      <c r="I481" t="s">
        <v>37</v>
      </c>
      <c r="J481" t="s">
        <v>17</v>
      </c>
      <c r="K481">
        <v>38</v>
      </c>
      <c r="L481" t="s">
        <v>18</v>
      </c>
      <c r="M481" t="s">
        <v>15</v>
      </c>
    </row>
    <row r="482" spans="1:13" x14ac:dyDescent="0.3">
      <c r="A482">
        <v>481</v>
      </c>
      <c r="B482" t="s">
        <v>41</v>
      </c>
      <c r="C482" t="s">
        <v>12</v>
      </c>
      <c r="D482">
        <v>46946</v>
      </c>
      <c r="E482" t="s">
        <v>26</v>
      </c>
      <c r="F482" t="s">
        <v>21</v>
      </c>
      <c r="G482" t="s">
        <v>15</v>
      </c>
      <c r="H482">
        <v>1</v>
      </c>
      <c r="I482" t="s">
        <v>16</v>
      </c>
      <c r="J482" t="s">
        <v>24</v>
      </c>
      <c r="K482">
        <v>38</v>
      </c>
      <c r="L482" t="s">
        <v>18</v>
      </c>
      <c r="M482" t="s">
        <v>22</v>
      </c>
    </row>
    <row r="483" spans="1:13" x14ac:dyDescent="0.3">
      <c r="A483">
        <v>482</v>
      </c>
      <c r="B483" t="s">
        <v>41</v>
      </c>
      <c r="C483" t="s">
        <v>19</v>
      </c>
      <c r="D483">
        <v>32398</v>
      </c>
      <c r="E483" t="s">
        <v>26</v>
      </c>
      <c r="F483" t="s">
        <v>21</v>
      </c>
      <c r="G483" t="s">
        <v>15</v>
      </c>
      <c r="H483">
        <v>0</v>
      </c>
      <c r="I483" t="s">
        <v>37</v>
      </c>
      <c r="J483" t="s">
        <v>17</v>
      </c>
      <c r="K483">
        <v>22</v>
      </c>
      <c r="L483" t="s">
        <v>38</v>
      </c>
      <c r="M483" t="s">
        <v>15</v>
      </c>
    </row>
    <row r="484" spans="1:13" x14ac:dyDescent="0.3">
      <c r="A484">
        <v>483</v>
      </c>
      <c r="B484" t="s">
        <v>41</v>
      </c>
      <c r="C484" t="s">
        <v>19</v>
      </c>
      <c r="D484">
        <v>96311</v>
      </c>
      <c r="E484" t="s">
        <v>26</v>
      </c>
      <c r="F484" t="s">
        <v>35</v>
      </c>
      <c r="G484" t="s">
        <v>22</v>
      </c>
      <c r="H484">
        <v>0</v>
      </c>
      <c r="I484" t="s">
        <v>16</v>
      </c>
      <c r="J484" t="s">
        <v>24</v>
      </c>
      <c r="K484">
        <v>31</v>
      </c>
      <c r="L484" t="s">
        <v>18</v>
      </c>
      <c r="M484" t="s">
        <v>15</v>
      </c>
    </row>
    <row r="485" spans="1:13" x14ac:dyDescent="0.3">
      <c r="A485">
        <v>484</v>
      </c>
      <c r="B485" t="s">
        <v>41</v>
      </c>
      <c r="C485" t="s">
        <v>19</v>
      </c>
      <c r="D485">
        <v>38250</v>
      </c>
      <c r="E485" t="s">
        <v>13</v>
      </c>
      <c r="F485" t="s">
        <v>36</v>
      </c>
      <c r="G485" t="s">
        <v>15</v>
      </c>
      <c r="H485">
        <v>1</v>
      </c>
      <c r="I485" t="s">
        <v>16</v>
      </c>
      <c r="J485" t="s">
        <v>34</v>
      </c>
      <c r="K485">
        <v>26</v>
      </c>
      <c r="L485" t="s">
        <v>38</v>
      </c>
      <c r="M485" t="s">
        <v>15</v>
      </c>
    </row>
    <row r="486" spans="1:13" x14ac:dyDescent="0.3">
      <c r="A486">
        <v>485</v>
      </c>
      <c r="B486" t="s">
        <v>41</v>
      </c>
      <c r="C486" t="s">
        <v>12</v>
      </c>
      <c r="D486">
        <v>109685</v>
      </c>
      <c r="E486" t="s">
        <v>31</v>
      </c>
      <c r="F486" t="s">
        <v>14</v>
      </c>
      <c r="G486" t="s">
        <v>15</v>
      </c>
      <c r="H486">
        <v>2</v>
      </c>
      <c r="I486" t="s">
        <v>27</v>
      </c>
      <c r="J486" t="s">
        <v>24</v>
      </c>
      <c r="K486">
        <v>52</v>
      </c>
      <c r="L486" t="s">
        <v>29</v>
      </c>
      <c r="M486" t="s">
        <v>15</v>
      </c>
    </row>
    <row r="487" spans="1:13" x14ac:dyDescent="0.3">
      <c r="A487">
        <v>486</v>
      </c>
      <c r="B487" t="s">
        <v>40</v>
      </c>
      <c r="C487" t="s">
        <v>19</v>
      </c>
      <c r="D487">
        <v>46210</v>
      </c>
      <c r="E487" t="s">
        <v>20</v>
      </c>
      <c r="F487" t="s">
        <v>14</v>
      </c>
      <c r="G487" t="s">
        <v>15</v>
      </c>
      <c r="H487">
        <v>1</v>
      </c>
      <c r="I487" t="s">
        <v>16</v>
      </c>
      <c r="J487" t="s">
        <v>17</v>
      </c>
      <c r="K487">
        <v>18</v>
      </c>
      <c r="L487" t="s">
        <v>25</v>
      </c>
      <c r="M487" t="s">
        <v>15</v>
      </c>
    </row>
    <row r="488" spans="1:13" x14ac:dyDescent="0.3">
      <c r="A488">
        <v>487</v>
      </c>
      <c r="B488" t="s">
        <v>40</v>
      </c>
      <c r="C488" t="s">
        <v>12</v>
      </c>
      <c r="D488">
        <v>84332</v>
      </c>
      <c r="E488" t="s">
        <v>20</v>
      </c>
      <c r="F488" t="s">
        <v>21</v>
      </c>
      <c r="G488" t="s">
        <v>22</v>
      </c>
      <c r="H488">
        <v>3</v>
      </c>
      <c r="I488" t="s">
        <v>37</v>
      </c>
      <c r="J488" t="s">
        <v>24</v>
      </c>
      <c r="K488">
        <v>22</v>
      </c>
      <c r="L488" t="s">
        <v>38</v>
      </c>
      <c r="M488" t="s">
        <v>15</v>
      </c>
    </row>
    <row r="489" spans="1:13" x14ac:dyDescent="0.3">
      <c r="A489">
        <v>488</v>
      </c>
      <c r="B489" t="s">
        <v>40</v>
      </c>
      <c r="C489" t="s">
        <v>12</v>
      </c>
      <c r="D489">
        <v>29157</v>
      </c>
      <c r="E489" t="s">
        <v>31</v>
      </c>
      <c r="F489" t="s">
        <v>36</v>
      </c>
      <c r="G489" t="s">
        <v>15</v>
      </c>
      <c r="H489">
        <v>3</v>
      </c>
      <c r="I489" t="s">
        <v>33</v>
      </c>
      <c r="J489" t="s">
        <v>17</v>
      </c>
      <c r="K489">
        <v>38</v>
      </c>
      <c r="L489" t="s">
        <v>18</v>
      </c>
      <c r="M489" t="s">
        <v>15</v>
      </c>
    </row>
    <row r="490" spans="1:13" x14ac:dyDescent="0.3">
      <c r="A490">
        <v>489</v>
      </c>
      <c r="B490" t="s">
        <v>40</v>
      </c>
      <c r="C490" t="s">
        <v>19</v>
      </c>
      <c r="D490">
        <v>53933</v>
      </c>
      <c r="E490" t="s">
        <v>13</v>
      </c>
      <c r="F490" t="s">
        <v>32</v>
      </c>
      <c r="G490" t="s">
        <v>15</v>
      </c>
      <c r="H490">
        <v>0</v>
      </c>
      <c r="I490" t="s">
        <v>37</v>
      </c>
      <c r="J490" t="s">
        <v>17</v>
      </c>
      <c r="K490">
        <v>39</v>
      </c>
      <c r="L490" t="s">
        <v>18</v>
      </c>
      <c r="M490" t="s">
        <v>15</v>
      </c>
    </row>
    <row r="491" spans="1:13" x14ac:dyDescent="0.3">
      <c r="A491">
        <v>490</v>
      </c>
      <c r="B491" t="s">
        <v>40</v>
      </c>
      <c r="C491" t="s">
        <v>19</v>
      </c>
      <c r="D491">
        <v>101442</v>
      </c>
      <c r="E491" t="s">
        <v>13</v>
      </c>
      <c r="F491" t="s">
        <v>32</v>
      </c>
      <c r="G491" t="s">
        <v>15</v>
      </c>
      <c r="H491">
        <v>3</v>
      </c>
      <c r="I491" t="s">
        <v>37</v>
      </c>
      <c r="J491" t="s">
        <v>24</v>
      </c>
      <c r="K491">
        <v>34</v>
      </c>
      <c r="L491" t="s">
        <v>18</v>
      </c>
      <c r="M491" t="s">
        <v>15</v>
      </c>
    </row>
    <row r="492" spans="1:13" x14ac:dyDescent="0.3">
      <c r="A492">
        <v>491</v>
      </c>
      <c r="B492" t="s">
        <v>41</v>
      </c>
      <c r="C492" t="s">
        <v>12</v>
      </c>
      <c r="D492">
        <v>35558</v>
      </c>
      <c r="E492" t="s">
        <v>31</v>
      </c>
      <c r="F492" t="s">
        <v>35</v>
      </c>
      <c r="G492" t="s">
        <v>15</v>
      </c>
      <c r="H492">
        <v>3</v>
      </c>
      <c r="I492" t="s">
        <v>33</v>
      </c>
      <c r="J492" t="s">
        <v>34</v>
      </c>
      <c r="K492">
        <v>25</v>
      </c>
      <c r="L492" t="s">
        <v>38</v>
      </c>
      <c r="M492" t="s">
        <v>15</v>
      </c>
    </row>
    <row r="493" spans="1:13" x14ac:dyDescent="0.3">
      <c r="A493">
        <v>492</v>
      </c>
      <c r="B493" t="s">
        <v>41</v>
      </c>
      <c r="C493" t="s">
        <v>19</v>
      </c>
      <c r="D493">
        <v>70955</v>
      </c>
      <c r="E493" t="s">
        <v>13</v>
      </c>
      <c r="F493" t="s">
        <v>35</v>
      </c>
      <c r="G493" t="s">
        <v>15</v>
      </c>
      <c r="H493">
        <v>3</v>
      </c>
      <c r="I493" t="s">
        <v>33</v>
      </c>
      <c r="J493" t="s">
        <v>34</v>
      </c>
      <c r="K493">
        <v>45</v>
      </c>
      <c r="L493" t="s">
        <v>30</v>
      </c>
      <c r="M493" t="s">
        <v>15</v>
      </c>
    </row>
    <row r="494" spans="1:13" x14ac:dyDescent="0.3">
      <c r="A494">
        <v>493</v>
      </c>
      <c r="B494" t="s">
        <v>41</v>
      </c>
      <c r="C494" t="s">
        <v>12</v>
      </c>
      <c r="D494">
        <v>71363</v>
      </c>
      <c r="E494" t="s">
        <v>26</v>
      </c>
      <c r="F494" t="s">
        <v>35</v>
      </c>
      <c r="G494" t="s">
        <v>22</v>
      </c>
      <c r="H494">
        <v>0</v>
      </c>
      <c r="I494" t="s">
        <v>23</v>
      </c>
      <c r="J494" t="s">
        <v>24</v>
      </c>
      <c r="K494">
        <v>49</v>
      </c>
      <c r="L494" t="s">
        <v>30</v>
      </c>
      <c r="M494" t="s">
        <v>15</v>
      </c>
    </row>
    <row r="495" spans="1:13" x14ac:dyDescent="0.3">
      <c r="A495">
        <v>494</v>
      </c>
      <c r="B495" t="s">
        <v>41</v>
      </c>
      <c r="C495" t="s">
        <v>12</v>
      </c>
      <c r="D495">
        <v>111068</v>
      </c>
      <c r="E495" t="s">
        <v>31</v>
      </c>
      <c r="F495" t="s">
        <v>35</v>
      </c>
      <c r="G495" t="s">
        <v>22</v>
      </c>
      <c r="H495">
        <v>1</v>
      </c>
      <c r="I495" t="s">
        <v>27</v>
      </c>
      <c r="J495" t="s">
        <v>28</v>
      </c>
      <c r="K495">
        <v>22</v>
      </c>
      <c r="L495" t="s">
        <v>38</v>
      </c>
      <c r="M495" t="s">
        <v>15</v>
      </c>
    </row>
    <row r="496" spans="1:13" x14ac:dyDescent="0.3">
      <c r="A496">
        <v>495</v>
      </c>
      <c r="B496" t="s">
        <v>41</v>
      </c>
      <c r="C496" t="s">
        <v>12</v>
      </c>
      <c r="D496">
        <v>86541</v>
      </c>
      <c r="E496" t="s">
        <v>20</v>
      </c>
      <c r="F496" t="s">
        <v>36</v>
      </c>
      <c r="G496" t="s">
        <v>15</v>
      </c>
      <c r="H496">
        <v>2</v>
      </c>
      <c r="I496" t="s">
        <v>27</v>
      </c>
      <c r="J496" t="s">
        <v>17</v>
      </c>
      <c r="K496">
        <v>55</v>
      </c>
      <c r="L496" t="s">
        <v>29</v>
      </c>
      <c r="M496" t="s">
        <v>15</v>
      </c>
    </row>
    <row r="497" spans="1:13" x14ac:dyDescent="0.3">
      <c r="A497">
        <v>496</v>
      </c>
      <c r="B497" t="s">
        <v>41</v>
      </c>
      <c r="C497" t="s">
        <v>12</v>
      </c>
      <c r="D497">
        <v>25497</v>
      </c>
      <c r="E497" t="s">
        <v>13</v>
      </c>
      <c r="F497" t="s">
        <v>36</v>
      </c>
      <c r="G497" t="s">
        <v>22</v>
      </c>
      <c r="H497">
        <v>1</v>
      </c>
      <c r="I497" t="s">
        <v>16</v>
      </c>
      <c r="J497" t="s">
        <v>17</v>
      </c>
      <c r="K497">
        <v>51</v>
      </c>
      <c r="L497" t="s">
        <v>29</v>
      </c>
      <c r="M497" t="s">
        <v>15</v>
      </c>
    </row>
    <row r="498" spans="1:13" x14ac:dyDescent="0.3">
      <c r="A498">
        <v>497</v>
      </c>
      <c r="B498" t="s">
        <v>41</v>
      </c>
      <c r="C498" t="s">
        <v>12</v>
      </c>
      <c r="D498">
        <v>51302</v>
      </c>
      <c r="E498" t="s">
        <v>20</v>
      </c>
      <c r="F498" t="s">
        <v>32</v>
      </c>
      <c r="G498" t="s">
        <v>15</v>
      </c>
      <c r="H498">
        <v>3</v>
      </c>
      <c r="I498" t="s">
        <v>37</v>
      </c>
      <c r="J498" t="s">
        <v>34</v>
      </c>
      <c r="K498">
        <v>34</v>
      </c>
      <c r="L498" t="s">
        <v>18</v>
      </c>
      <c r="M498" t="s">
        <v>15</v>
      </c>
    </row>
    <row r="499" spans="1:13" x14ac:dyDescent="0.3">
      <c r="A499">
        <v>498</v>
      </c>
      <c r="B499" t="s">
        <v>41</v>
      </c>
      <c r="C499" t="s">
        <v>12</v>
      </c>
      <c r="D499">
        <v>63180</v>
      </c>
      <c r="E499" t="s">
        <v>26</v>
      </c>
      <c r="F499" t="s">
        <v>36</v>
      </c>
      <c r="G499" t="s">
        <v>15</v>
      </c>
      <c r="H499">
        <v>0</v>
      </c>
      <c r="I499" t="s">
        <v>37</v>
      </c>
      <c r="J499" t="s">
        <v>24</v>
      </c>
      <c r="K499">
        <v>50</v>
      </c>
      <c r="L499" t="s">
        <v>30</v>
      </c>
      <c r="M499" t="s">
        <v>15</v>
      </c>
    </row>
    <row r="500" spans="1:13" x14ac:dyDescent="0.3">
      <c r="A500">
        <v>499</v>
      </c>
      <c r="B500" t="s">
        <v>40</v>
      </c>
      <c r="C500" t="s">
        <v>19</v>
      </c>
      <c r="D500">
        <v>74110</v>
      </c>
      <c r="E500" t="s">
        <v>26</v>
      </c>
      <c r="F500" t="s">
        <v>32</v>
      </c>
      <c r="G500" t="s">
        <v>15</v>
      </c>
      <c r="H500">
        <v>3</v>
      </c>
      <c r="I500" t="s">
        <v>33</v>
      </c>
      <c r="J500" t="s">
        <v>24</v>
      </c>
      <c r="K500">
        <v>53</v>
      </c>
      <c r="L500" t="s">
        <v>29</v>
      </c>
      <c r="M500" t="s">
        <v>15</v>
      </c>
    </row>
    <row r="501" spans="1:13" x14ac:dyDescent="0.3">
      <c r="A501">
        <v>500</v>
      </c>
      <c r="B501" t="s">
        <v>40</v>
      </c>
      <c r="C501" t="s">
        <v>12</v>
      </c>
      <c r="D501">
        <v>112281</v>
      </c>
      <c r="E501" t="s">
        <v>13</v>
      </c>
      <c r="F501" t="s">
        <v>32</v>
      </c>
      <c r="G501" t="s">
        <v>15</v>
      </c>
      <c r="H501">
        <v>3</v>
      </c>
      <c r="I501" t="s">
        <v>27</v>
      </c>
      <c r="J501" t="s">
        <v>34</v>
      </c>
      <c r="K501">
        <v>25</v>
      </c>
      <c r="L501" t="s">
        <v>38</v>
      </c>
      <c r="M501" t="s">
        <v>15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1F4E52-16D3-443D-BF41-266E31C12D68}">
  <dimension ref="A1:N502"/>
  <sheetViews>
    <sheetView workbookViewId="0">
      <selection activeCell="O24" sqref="O24"/>
    </sheetView>
  </sheetViews>
  <sheetFormatPr defaultRowHeight="14.4" x14ac:dyDescent="0.3"/>
  <cols>
    <col min="1" max="2" width="15.6640625" style="4" customWidth="1"/>
    <col min="3" max="3" width="9.5546875" style="4" customWidth="1"/>
    <col min="4" max="4" width="12.77734375" style="4" customWidth="1"/>
    <col min="5" max="5" width="17.21875" style="4" customWidth="1"/>
    <col min="6" max="6" width="14" style="4" customWidth="1"/>
    <col min="7" max="7" width="14.33203125" style="4" customWidth="1"/>
    <col min="8" max="8" width="9.21875" style="4" customWidth="1"/>
    <col min="9" max="9" width="20.6640625" style="4" customWidth="1"/>
    <col min="10" max="10" width="11.33203125" style="4" customWidth="1"/>
    <col min="11" max="11" width="9" style="4" customWidth="1"/>
    <col min="12" max="12" width="20.6640625" style="4" customWidth="1"/>
    <col min="13" max="13" width="12.44140625" style="4" customWidth="1"/>
    <col min="14" max="16384" width="8.88671875" style="1"/>
  </cols>
  <sheetData>
    <row r="1" spans="1:14" x14ac:dyDescent="0.3">
      <c r="A1" s="3" t="s">
        <v>0</v>
      </c>
      <c r="B1" s="7" t="s">
        <v>39</v>
      </c>
      <c r="C1" s="3" t="s">
        <v>1</v>
      </c>
      <c r="D1" s="3" t="s">
        <v>2</v>
      </c>
      <c r="E1" s="3" t="s">
        <v>3</v>
      </c>
      <c r="F1" s="3" t="s">
        <v>4</v>
      </c>
      <c r="G1" s="3" t="s">
        <v>5</v>
      </c>
      <c r="H1" s="3" t="s">
        <v>6</v>
      </c>
      <c r="I1" s="3" t="s">
        <v>7</v>
      </c>
      <c r="J1" s="3" t="s">
        <v>8</v>
      </c>
      <c r="K1" s="3" t="s">
        <v>9</v>
      </c>
      <c r="L1" s="3" t="s">
        <v>10</v>
      </c>
      <c r="M1" s="3" t="s">
        <v>11</v>
      </c>
      <c r="N1" s="2"/>
    </row>
    <row r="2" spans="1:14" x14ac:dyDescent="0.3">
      <c r="A2" s="4">
        <v>1</v>
      </c>
      <c r="B2" s="4" t="s">
        <v>40</v>
      </c>
      <c r="C2" s="4" t="s">
        <v>12</v>
      </c>
      <c r="D2" s="4">
        <v>73038</v>
      </c>
      <c r="E2" s="4" t="s">
        <v>13</v>
      </c>
      <c r="F2" s="4" t="s">
        <v>14</v>
      </c>
      <c r="G2" s="4" t="s">
        <v>15</v>
      </c>
      <c r="H2" s="4">
        <v>2</v>
      </c>
      <c r="I2" s="4" t="s">
        <v>16</v>
      </c>
      <c r="J2" s="4" t="s">
        <v>17</v>
      </c>
      <c r="K2" s="4">
        <v>31</v>
      </c>
      <c r="L2" s="4" t="str">
        <f t="shared" ref="L2:L65" si="0">IF(K2&gt;54,"Old",IF(K2&gt;31,"Middle Age",IF(K2&lt;31,"Adolescent","Invalid")))</f>
        <v>Invalid</v>
      </c>
      <c r="M2" s="4" t="s">
        <v>15</v>
      </c>
    </row>
    <row r="3" spans="1:14" x14ac:dyDescent="0.3">
      <c r="A3" s="4">
        <v>2</v>
      </c>
      <c r="B3" s="4" t="s">
        <v>41</v>
      </c>
      <c r="C3" s="4" t="s">
        <v>19</v>
      </c>
      <c r="D3" s="4">
        <v>112766</v>
      </c>
      <c r="E3" s="4" t="s">
        <v>20</v>
      </c>
      <c r="F3" s="4" t="s">
        <v>21</v>
      </c>
      <c r="G3" s="4" t="s">
        <v>22</v>
      </c>
      <c r="H3" s="4">
        <v>0</v>
      </c>
      <c r="I3" s="4" t="s">
        <v>23</v>
      </c>
      <c r="J3" s="4" t="s">
        <v>24</v>
      </c>
      <c r="K3" s="4">
        <v>19</v>
      </c>
      <c r="L3" s="4" t="str">
        <f t="shared" si="0"/>
        <v>Adolescent</v>
      </c>
      <c r="M3" s="4" t="s">
        <v>22</v>
      </c>
    </row>
    <row r="4" spans="1:14" x14ac:dyDescent="0.3">
      <c r="A4" s="4">
        <v>3</v>
      </c>
      <c r="B4" s="4" t="s">
        <v>41</v>
      </c>
      <c r="C4" s="4" t="s">
        <v>12</v>
      </c>
      <c r="D4" s="4">
        <v>70573</v>
      </c>
      <c r="E4" s="4" t="s">
        <v>26</v>
      </c>
      <c r="F4" s="4" t="s">
        <v>14</v>
      </c>
      <c r="G4" s="4" t="s">
        <v>15</v>
      </c>
      <c r="H4" s="4">
        <v>3</v>
      </c>
      <c r="I4" s="4" t="s">
        <v>27</v>
      </c>
      <c r="J4" s="4" t="s">
        <v>28</v>
      </c>
      <c r="K4" s="4">
        <v>58</v>
      </c>
      <c r="L4" s="4" t="str">
        <f t="shared" si="0"/>
        <v>Old</v>
      </c>
      <c r="M4" s="4" t="s">
        <v>15</v>
      </c>
    </row>
    <row r="5" spans="1:14" x14ac:dyDescent="0.3">
      <c r="A5" s="4">
        <v>4</v>
      </c>
      <c r="B5" s="4" t="s">
        <v>40</v>
      </c>
      <c r="C5" s="4" t="s">
        <v>19</v>
      </c>
      <c r="D5" s="4">
        <v>56130</v>
      </c>
      <c r="E5" s="4" t="s">
        <v>20</v>
      </c>
      <c r="F5" s="4" t="s">
        <v>14</v>
      </c>
      <c r="G5" s="4" t="s">
        <v>22</v>
      </c>
      <c r="H5" s="4">
        <v>1</v>
      </c>
      <c r="I5" s="4" t="s">
        <v>16</v>
      </c>
      <c r="J5" s="4" t="s">
        <v>24</v>
      </c>
      <c r="K5" s="4">
        <v>48</v>
      </c>
      <c r="L5" s="4" t="str">
        <f t="shared" si="0"/>
        <v>Middle Age</v>
      </c>
      <c r="M5" s="4" t="s">
        <v>15</v>
      </c>
    </row>
    <row r="6" spans="1:14" x14ac:dyDescent="0.3">
      <c r="A6" s="4">
        <v>5</v>
      </c>
      <c r="B6" s="4" t="s">
        <v>41</v>
      </c>
      <c r="C6" s="4" t="s">
        <v>19</v>
      </c>
      <c r="D6" s="4">
        <v>104427</v>
      </c>
      <c r="E6" s="4" t="s">
        <v>31</v>
      </c>
      <c r="F6" s="4" t="s">
        <v>32</v>
      </c>
      <c r="G6" s="4" t="s">
        <v>22</v>
      </c>
      <c r="H6" s="4">
        <v>0</v>
      </c>
      <c r="I6" s="4" t="s">
        <v>27</v>
      </c>
      <c r="J6" s="4" t="s">
        <v>17</v>
      </c>
      <c r="K6" s="4">
        <v>36</v>
      </c>
      <c r="L6" s="4" t="str">
        <f t="shared" si="0"/>
        <v>Middle Age</v>
      </c>
      <c r="M6" s="4" t="s">
        <v>22</v>
      </c>
    </row>
    <row r="7" spans="1:14" x14ac:dyDescent="0.3">
      <c r="A7" s="4">
        <v>6</v>
      </c>
      <c r="B7" s="4" t="s">
        <v>40</v>
      </c>
      <c r="C7" s="4" t="s">
        <v>19</v>
      </c>
      <c r="D7" s="4">
        <v>47238</v>
      </c>
      <c r="E7" s="4" t="s">
        <v>20</v>
      </c>
      <c r="F7" s="4" t="s">
        <v>21</v>
      </c>
      <c r="G7" s="4" t="s">
        <v>22</v>
      </c>
      <c r="H7" s="4">
        <v>3</v>
      </c>
      <c r="I7" s="4" t="s">
        <v>33</v>
      </c>
      <c r="J7" s="4" t="s">
        <v>34</v>
      </c>
      <c r="K7" s="4">
        <v>31</v>
      </c>
      <c r="L7" s="4" t="str">
        <f t="shared" si="0"/>
        <v>Invalid</v>
      </c>
      <c r="M7" s="4" t="s">
        <v>15</v>
      </c>
    </row>
    <row r="8" spans="1:14" x14ac:dyDescent="0.3">
      <c r="A8" s="4">
        <v>7</v>
      </c>
      <c r="B8" s="4" t="s">
        <v>41</v>
      </c>
      <c r="C8" s="4" t="s">
        <v>12</v>
      </c>
      <c r="D8" s="4">
        <v>26086</v>
      </c>
      <c r="E8" s="4" t="s">
        <v>31</v>
      </c>
      <c r="F8" s="4" t="s">
        <v>35</v>
      </c>
      <c r="G8" s="4" t="s">
        <v>15</v>
      </c>
      <c r="H8" s="4">
        <v>0</v>
      </c>
      <c r="I8" s="4" t="s">
        <v>16</v>
      </c>
      <c r="J8" s="4" t="s">
        <v>34</v>
      </c>
      <c r="K8" s="4">
        <v>60</v>
      </c>
      <c r="L8" s="4" t="str">
        <f t="shared" si="0"/>
        <v>Old</v>
      </c>
      <c r="M8" s="4" t="s">
        <v>15</v>
      </c>
    </row>
    <row r="9" spans="1:14" x14ac:dyDescent="0.3">
      <c r="A9" s="4">
        <v>8</v>
      </c>
      <c r="B9" s="4" t="s">
        <v>40</v>
      </c>
      <c r="C9" s="4" t="s">
        <v>19</v>
      </c>
      <c r="D9" s="4">
        <v>28166</v>
      </c>
      <c r="E9" s="4" t="s">
        <v>20</v>
      </c>
      <c r="F9" s="4" t="s">
        <v>36</v>
      </c>
      <c r="G9" s="4" t="s">
        <v>15</v>
      </c>
      <c r="H9" s="4">
        <v>2</v>
      </c>
      <c r="I9" s="4" t="s">
        <v>37</v>
      </c>
      <c r="J9" s="4" t="s">
        <v>34</v>
      </c>
      <c r="K9" s="4">
        <v>41</v>
      </c>
      <c r="L9" s="4" t="str">
        <f t="shared" si="0"/>
        <v>Middle Age</v>
      </c>
      <c r="M9" s="4" t="s">
        <v>15</v>
      </c>
    </row>
    <row r="10" spans="1:14" x14ac:dyDescent="0.3">
      <c r="A10" s="4">
        <v>9</v>
      </c>
      <c r="B10" s="4" t="s">
        <v>41</v>
      </c>
      <c r="C10" s="4" t="s">
        <v>19</v>
      </c>
      <c r="D10" s="4">
        <v>50094</v>
      </c>
      <c r="E10" s="4" t="s">
        <v>20</v>
      </c>
      <c r="F10" s="4" t="s">
        <v>35</v>
      </c>
      <c r="G10" s="4" t="s">
        <v>15</v>
      </c>
      <c r="H10" s="4">
        <v>0</v>
      </c>
      <c r="I10" s="4" t="s">
        <v>16</v>
      </c>
      <c r="J10" s="4" t="s">
        <v>34</v>
      </c>
      <c r="K10" s="4">
        <v>41</v>
      </c>
      <c r="L10" s="4" t="str">
        <f t="shared" si="0"/>
        <v>Middle Age</v>
      </c>
      <c r="M10" s="4" t="s">
        <v>15</v>
      </c>
    </row>
    <row r="11" spans="1:14" x14ac:dyDescent="0.3">
      <c r="A11" s="4">
        <v>10</v>
      </c>
      <c r="B11" s="4" t="s">
        <v>40</v>
      </c>
      <c r="C11" s="4" t="s">
        <v>12</v>
      </c>
      <c r="D11" s="4">
        <v>79657</v>
      </c>
      <c r="E11" s="4" t="s">
        <v>31</v>
      </c>
      <c r="F11" s="4" t="s">
        <v>32</v>
      </c>
      <c r="G11" s="4" t="s">
        <v>22</v>
      </c>
      <c r="H11" s="4">
        <v>1</v>
      </c>
      <c r="I11" s="4" t="s">
        <v>27</v>
      </c>
      <c r="J11" s="4" t="s">
        <v>34</v>
      </c>
      <c r="K11" s="4">
        <v>23</v>
      </c>
      <c r="L11" s="4" t="str">
        <f t="shared" si="0"/>
        <v>Adolescent</v>
      </c>
      <c r="M11" s="4" t="s">
        <v>15</v>
      </c>
    </row>
    <row r="12" spans="1:14" x14ac:dyDescent="0.3">
      <c r="A12" s="4">
        <v>11</v>
      </c>
      <c r="B12" s="4" t="s">
        <v>40</v>
      </c>
      <c r="C12" s="4" t="s">
        <v>19</v>
      </c>
      <c r="D12" s="4">
        <v>54840</v>
      </c>
      <c r="E12" s="4" t="s">
        <v>13</v>
      </c>
      <c r="F12" s="4" t="s">
        <v>21</v>
      </c>
      <c r="G12" s="4" t="s">
        <v>15</v>
      </c>
      <c r="H12" s="4">
        <v>3</v>
      </c>
      <c r="I12" s="4" t="s">
        <v>33</v>
      </c>
      <c r="J12" s="4" t="s">
        <v>17</v>
      </c>
      <c r="K12" s="4">
        <v>20</v>
      </c>
      <c r="L12" s="4" t="str">
        <f t="shared" si="0"/>
        <v>Adolescent</v>
      </c>
      <c r="M12" s="4" t="s">
        <v>15</v>
      </c>
    </row>
    <row r="13" spans="1:14" x14ac:dyDescent="0.3">
      <c r="A13" s="4">
        <v>12</v>
      </c>
      <c r="B13" s="4" t="s">
        <v>41</v>
      </c>
      <c r="C13" s="4" t="s">
        <v>19</v>
      </c>
      <c r="D13" s="4">
        <v>44876</v>
      </c>
      <c r="E13" s="4" t="s">
        <v>31</v>
      </c>
      <c r="F13" s="4" t="s">
        <v>21</v>
      </c>
      <c r="G13" s="4" t="s">
        <v>15</v>
      </c>
      <c r="H13" s="4">
        <v>1</v>
      </c>
      <c r="I13" s="4" t="s">
        <v>27</v>
      </c>
      <c r="J13" s="4" t="s">
        <v>28</v>
      </c>
      <c r="K13" s="4">
        <v>33</v>
      </c>
      <c r="L13" s="4" t="str">
        <f t="shared" si="0"/>
        <v>Middle Age</v>
      </c>
      <c r="M13" s="4" t="s">
        <v>15</v>
      </c>
    </row>
    <row r="14" spans="1:14" x14ac:dyDescent="0.3">
      <c r="A14" s="4">
        <v>13</v>
      </c>
      <c r="B14" s="4" t="s">
        <v>41</v>
      </c>
      <c r="C14" s="4" t="s">
        <v>19</v>
      </c>
      <c r="D14" s="4">
        <v>94089</v>
      </c>
      <c r="E14" s="4" t="s">
        <v>20</v>
      </c>
      <c r="F14" s="4" t="s">
        <v>32</v>
      </c>
      <c r="G14" s="4" t="s">
        <v>15</v>
      </c>
      <c r="H14" s="4">
        <v>2</v>
      </c>
      <c r="I14" s="4" t="s">
        <v>27</v>
      </c>
      <c r="J14" s="4" t="s">
        <v>28</v>
      </c>
      <c r="K14" s="4">
        <v>37</v>
      </c>
      <c r="L14" s="4" t="str">
        <f t="shared" si="0"/>
        <v>Middle Age</v>
      </c>
      <c r="M14" s="4" t="s">
        <v>15</v>
      </c>
    </row>
    <row r="15" spans="1:14" x14ac:dyDescent="0.3">
      <c r="A15" s="4">
        <v>14</v>
      </c>
      <c r="B15" s="4" t="s">
        <v>40</v>
      </c>
      <c r="C15" s="4" t="s">
        <v>19</v>
      </c>
      <c r="D15" s="4">
        <v>97403</v>
      </c>
      <c r="E15" s="4" t="s">
        <v>26</v>
      </c>
      <c r="F15" s="4" t="s">
        <v>35</v>
      </c>
      <c r="G15" s="4" t="s">
        <v>22</v>
      </c>
      <c r="H15" s="4">
        <v>3</v>
      </c>
      <c r="I15" s="4" t="s">
        <v>27</v>
      </c>
      <c r="J15" s="4" t="s">
        <v>28</v>
      </c>
      <c r="K15" s="4">
        <v>55</v>
      </c>
      <c r="L15" s="4" t="str">
        <f t="shared" si="0"/>
        <v>Old</v>
      </c>
      <c r="M15" s="4" t="s">
        <v>15</v>
      </c>
    </row>
    <row r="16" spans="1:14" x14ac:dyDescent="0.3">
      <c r="A16" s="4">
        <v>15</v>
      </c>
      <c r="B16" s="4" t="s">
        <v>40</v>
      </c>
      <c r="C16" s="4" t="s">
        <v>12</v>
      </c>
      <c r="D16" s="4">
        <v>56958</v>
      </c>
      <c r="E16" s="4" t="s">
        <v>13</v>
      </c>
      <c r="F16" s="4" t="s">
        <v>32</v>
      </c>
      <c r="G16" s="4" t="s">
        <v>22</v>
      </c>
      <c r="H16" s="4">
        <v>1</v>
      </c>
      <c r="I16" s="4" t="s">
        <v>33</v>
      </c>
      <c r="J16" s="4" t="s">
        <v>34</v>
      </c>
      <c r="K16" s="4">
        <v>24</v>
      </c>
      <c r="L16" s="4" t="str">
        <f t="shared" si="0"/>
        <v>Adolescent</v>
      </c>
      <c r="M16" s="4" t="s">
        <v>22</v>
      </c>
    </row>
    <row r="17" spans="1:13" x14ac:dyDescent="0.3">
      <c r="A17" s="4">
        <v>16</v>
      </c>
      <c r="B17" s="4" t="s">
        <v>41</v>
      </c>
      <c r="C17" s="4" t="s">
        <v>12</v>
      </c>
      <c r="D17" s="4">
        <v>29402</v>
      </c>
      <c r="E17" s="4" t="s">
        <v>31</v>
      </c>
      <c r="F17" s="4" t="s">
        <v>35</v>
      </c>
      <c r="G17" s="4" t="s">
        <v>22</v>
      </c>
      <c r="H17" s="4">
        <v>0</v>
      </c>
      <c r="I17" s="4" t="s">
        <v>33</v>
      </c>
      <c r="J17" s="4" t="s">
        <v>17</v>
      </c>
      <c r="K17" s="4">
        <v>58</v>
      </c>
      <c r="L17" s="4" t="str">
        <f t="shared" si="0"/>
        <v>Old</v>
      </c>
      <c r="M17" s="4" t="s">
        <v>15</v>
      </c>
    </row>
    <row r="18" spans="1:13" x14ac:dyDescent="0.3">
      <c r="A18" s="4">
        <v>17</v>
      </c>
      <c r="B18" s="4" t="s">
        <v>40</v>
      </c>
      <c r="C18" s="4" t="s">
        <v>12</v>
      </c>
      <c r="D18" s="4">
        <v>32178</v>
      </c>
      <c r="E18" s="4" t="s">
        <v>20</v>
      </c>
      <c r="F18" s="4" t="s">
        <v>32</v>
      </c>
      <c r="G18" s="4" t="s">
        <v>15</v>
      </c>
      <c r="H18" s="4">
        <v>3</v>
      </c>
      <c r="I18" s="4" t="s">
        <v>33</v>
      </c>
      <c r="J18" s="4" t="s">
        <v>24</v>
      </c>
      <c r="K18" s="4">
        <v>55</v>
      </c>
      <c r="L18" s="4" t="str">
        <f t="shared" si="0"/>
        <v>Old</v>
      </c>
      <c r="M18" s="4" t="s">
        <v>15</v>
      </c>
    </row>
    <row r="19" spans="1:13" x14ac:dyDescent="0.3">
      <c r="A19" s="4">
        <v>18</v>
      </c>
      <c r="B19" s="4" t="s">
        <v>41</v>
      </c>
      <c r="C19" s="4" t="s">
        <v>12</v>
      </c>
      <c r="D19" s="4">
        <v>102847</v>
      </c>
      <c r="E19" s="4" t="s">
        <v>31</v>
      </c>
      <c r="F19" s="4" t="s">
        <v>35</v>
      </c>
      <c r="G19" s="4" t="s">
        <v>22</v>
      </c>
      <c r="H19" s="4">
        <v>3</v>
      </c>
      <c r="I19" s="4" t="s">
        <v>16</v>
      </c>
      <c r="J19" s="4" t="s">
        <v>17</v>
      </c>
      <c r="K19" s="4">
        <v>54</v>
      </c>
      <c r="L19" s="4" t="str">
        <f t="shared" si="0"/>
        <v>Middle Age</v>
      </c>
      <c r="M19" s="4" t="s">
        <v>15</v>
      </c>
    </row>
    <row r="20" spans="1:13" x14ac:dyDescent="0.3">
      <c r="A20" s="4">
        <v>19</v>
      </c>
      <c r="B20" s="4" t="s">
        <v>40</v>
      </c>
      <c r="C20" s="4" t="s">
        <v>19</v>
      </c>
      <c r="D20" s="4">
        <v>35613</v>
      </c>
      <c r="E20" s="4" t="s">
        <v>31</v>
      </c>
      <c r="F20" s="4" t="s">
        <v>35</v>
      </c>
      <c r="G20" s="4" t="s">
        <v>15</v>
      </c>
      <c r="H20" s="4">
        <v>1</v>
      </c>
      <c r="I20" s="4" t="s">
        <v>37</v>
      </c>
      <c r="J20" s="4" t="s">
        <v>24</v>
      </c>
      <c r="K20" s="4">
        <v>51</v>
      </c>
      <c r="L20" s="4" t="str">
        <f t="shared" si="0"/>
        <v>Middle Age</v>
      </c>
      <c r="M20" s="4" t="s">
        <v>15</v>
      </c>
    </row>
    <row r="21" spans="1:13" x14ac:dyDescent="0.3">
      <c r="A21" s="4">
        <v>20</v>
      </c>
      <c r="B21" s="4" t="s">
        <v>41</v>
      </c>
      <c r="C21" s="4" t="s">
        <v>19</v>
      </c>
      <c r="D21" s="4">
        <v>96681</v>
      </c>
      <c r="E21" s="4" t="s">
        <v>20</v>
      </c>
      <c r="F21" s="4" t="s">
        <v>32</v>
      </c>
      <c r="G21" s="4" t="s">
        <v>22</v>
      </c>
      <c r="H21" s="4">
        <v>2</v>
      </c>
      <c r="I21" s="4" t="s">
        <v>33</v>
      </c>
      <c r="J21" s="4" t="s">
        <v>34</v>
      </c>
      <c r="K21" s="4">
        <v>54</v>
      </c>
      <c r="L21" s="4" t="str">
        <f t="shared" si="0"/>
        <v>Middle Age</v>
      </c>
      <c r="M21" s="4" t="s">
        <v>15</v>
      </c>
    </row>
    <row r="22" spans="1:13" x14ac:dyDescent="0.3">
      <c r="A22" s="4">
        <v>21</v>
      </c>
      <c r="B22" s="4" t="s">
        <v>41</v>
      </c>
      <c r="C22" s="4" t="s">
        <v>12</v>
      </c>
      <c r="D22" s="4">
        <v>112711</v>
      </c>
      <c r="E22" s="4" t="s">
        <v>13</v>
      </c>
      <c r="F22" s="4" t="s">
        <v>35</v>
      </c>
      <c r="G22" s="4" t="s">
        <v>22</v>
      </c>
      <c r="H22" s="4">
        <v>1</v>
      </c>
      <c r="I22" s="4" t="s">
        <v>37</v>
      </c>
      <c r="J22" s="4" t="s">
        <v>24</v>
      </c>
      <c r="K22" s="4">
        <v>56</v>
      </c>
      <c r="L22" s="4" t="str">
        <f t="shared" si="0"/>
        <v>Old</v>
      </c>
      <c r="M22" s="4" t="s">
        <v>15</v>
      </c>
    </row>
    <row r="23" spans="1:13" x14ac:dyDescent="0.3">
      <c r="A23" s="4">
        <v>22</v>
      </c>
      <c r="B23" s="4" t="s">
        <v>40</v>
      </c>
      <c r="C23" s="4" t="s">
        <v>19</v>
      </c>
      <c r="D23" s="4">
        <v>73719</v>
      </c>
      <c r="E23" s="4" t="s">
        <v>31</v>
      </c>
      <c r="F23" s="4" t="s">
        <v>14</v>
      </c>
      <c r="G23" s="4" t="s">
        <v>22</v>
      </c>
      <c r="H23" s="4">
        <v>2</v>
      </c>
      <c r="I23" s="4" t="s">
        <v>27</v>
      </c>
      <c r="J23" s="4" t="s">
        <v>34</v>
      </c>
      <c r="K23" s="4">
        <v>42</v>
      </c>
      <c r="L23" s="4" t="str">
        <f t="shared" si="0"/>
        <v>Middle Age</v>
      </c>
      <c r="M23" s="4" t="s">
        <v>22</v>
      </c>
    </row>
    <row r="24" spans="1:13" x14ac:dyDescent="0.3">
      <c r="A24" s="4">
        <v>23</v>
      </c>
      <c r="B24" s="4" t="s">
        <v>41</v>
      </c>
      <c r="C24" s="4" t="s">
        <v>19</v>
      </c>
      <c r="D24" s="4">
        <v>58062</v>
      </c>
      <c r="E24" s="4" t="s">
        <v>26</v>
      </c>
      <c r="F24" s="4" t="s">
        <v>32</v>
      </c>
      <c r="G24" s="4" t="s">
        <v>15</v>
      </c>
      <c r="H24" s="4">
        <v>3</v>
      </c>
      <c r="I24" s="4" t="s">
        <v>16</v>
      </c>
      <c r="J24" s="4" t="s">
        <v>24</v>
      </c>
      <c r="K24" s="4">
        <v>26</v>
      </c>
      <c r="L24" s="4" t="str">
        <f t="shared" si="0"/>
        <v>Adolescent</v>
      </c>
      <c r="M24" s="4" t="s">
        <v>15</v>
      </c>
    </row>
    <row r="25" spans="1:13" x14ac:dyDescent="0.3">
      <c r="A25" s="4">
        <v>24</v>
      </c>
      <c r="B25" s="4" t="s">
        <v>40</v>
      </c>
      <c r="C25" s="4" t="s">
        <v>12</v>
      </c>
      <c r="D25" s="4">
        <v>75536</v>
      </c>
      <c r="E25" s="4" t="s">
        <v>31</v>
      </c>
      <c r="F25" s="4" t="s">
        <v>35</v>
      </c>
      <c r="G25" s="4" t="s">
        <v>22</v>
      </c>
      <c r="H25" s="4">
        <v>3</v>
      </c>
      <c r="I25" s="4" t="s">
        <v>27</v>
      </c>
      <c r="J25" s="4" t="s">
        <v>28</v>
      </c>
      <c r="K25" s="4">
        <v>41</v>
      </c>
      <c r="L25" s="4" t="str">
        <f t="shared" si="0"/>
        <v>Middle Age</v>
      </c>
      <c r="M25" s="4" t="s">
        <v>15</v>
      </c>
    </row>
    <row r="26" spans="1:13" x14ac:dyDescent="0.3">
      <c r="A26" s="4">
        <v>25</v>
      </c>
      <c r="B26" s="4" t="s">
        <v>41</v>
      </c>
      <c r="C26" s="4" t="s">
        <v>19</v>
      </c>
      <c r="D26" s="4">
        <v>24364</v>
      </c>
      <c r="E26" s="4" t="s">
        <v>26</v>
      </c>
      <c r="F26" s="4" t="s">
        <v>21</v>
      </c>
      <c r="G26" s="4" t="s">
        <v>22</v>
      </c>
      <c r="H26" s="4">
        <v>1</v>
      </c>
      <c r="I26" s="4" t="s">
        <v>33</v>
      </c>
      <c r="J26" s="4" t="s">
        <v>28</v>
      </c>
      <c r="K26" s="4">
        <v>25</v>
      </c>
      <c r="L26" s="4" t="str">
        <f t="shared" si="0"/>
        <v>Adolescent</v>
      </c>
      <c r="M26" s="4" t="s">
        <v>15</v>
      </c>
    </row>
    <row r="27" spans="1:13" x14ac:dyDescent="0.3">
      <c r="A27" s="4">
        <v>26</v>
      </c>
      <c r="B27" s="4" t="s">
        <v>40</v>
      </c>
      <c r="C27" s="4" t="s">
        <v>19</v>
      </c>
      <c r="D27" s="4">
        <v>41727</v>
      </c>
      <c r="E27" s="4" t="s">
        <v>26</v>
      </c>
      <c r="F27" s="4" t="s">
        <v>36</v>
      </c>
      <c r="G27" s="4" t="s">
        <v>15</v>
      </c>
      <c r="H27" s="4">
        <v>3</v>
      </c>
      <c r="I27" s="4" t="s">
        <v>33</v>
      </c>
      <c r="J27" s="4" t="s">
        <v>17</v>
      </c>
      <c r="K27" s="4">
        <v>46</v>
      </c>
      <c r="L27" s="4" t="str">
        <f t="shared" si="0"/>
        <v>Middle Age</v>
      </c>
      <c r="M27" s="4" t="s">
        <v>15</v>
      </c>
    </row>
    <row r="28" spans="1:13" x14ac:dyDescent="0.3">
      <c r="A28" s="4">
        <v>27</v>
      </c>
      <c r="B28" s="4" t="s">
        <v>41</v>
      </c>
      <c r="C28" s="4" t="s">
        <v>19</v>
      </c>
      <c r="D28" s="4">
        <v>52185</v>
      </c>
      <c r="E28" s="4" t="s">
        <v>13</v>
      </c>
      <c r="F28" s="4" t="s">
        <v>36</v>
      </c>
      <c r="G28" s="4" t="s">
        <v>22</v>
      </c>
      <c r="H28" s="4">
        <v>1</v>
      </c>
      <c r="I28" s="4" t="s">
        <v>16</v>
      </c>
      <c r="J28" s="4" t="s">
        <v>34</v>
      </c>
      <c r="K28" s="4">
        <v>50</v>
      </c>
      <c r="L28" s="4" t="str">
        <f t="shared" si="0"/>
        <v>Middle Age</v>
      </c>
      <c r="M28" s="4" t="s">
        <v>15</v>
      </c>
    </row>
    <row r="29" spans="1:13" x14ac:dyDescent="0.3">
      <c r="A29" s="4">
        <v>28</v>
      </c>
      <c r="B29" s="4" t="s">
        <v>40</v>
      </c>
      <c r="C29" s="4" t="s">
        <v>12</v>
      </c>
      <c r="D29" s="4">
        <v>109473</v>
      </c>
      <c r="E29" s="4" t="s">
        <v>31</v>
      </c>
      <c r="F29" s="4" t="s">
        <v>36</v>
      </c>
      <c r="G29" s="4" t="s">
        <v>15</v>
      </c>
      <c r="H29" s="4">
        <v>1</v>
      </c>
      <c r="I29" s="4" t="s">
        <v>27</v>
      </c>
      <c r="J29" s="4" t="s">
        <v>24</v>
      </c>
      <c r="K29" s="4">
        <v>26</v>
      </c>
      <c r="L29" s="4" t="str">
        <f t="shared" si="0"/>
        <v>Adolescent</v>
      </c>
      <c r="M29" s="4" t="s">
        <v>22</v>
      </c>
    </row>
    <row r="30" spans="1:13" x14ac:dyDescent="0.3">
      <c r="A30" s="4">
        <v>29</v>
      </c>
      <c r="B30" s="4" t="s">
        <v>41</v>
      </c>
      <c r="C30" s="4" t="s">
        <v>19</v>
      </c>
      <c r="D30" s="4">
        <v>69895</v>
      </c>
      <c r="E30" s="4" t="s">
        <v>13</v>
      </c>
      <c r="F30" s="4" t="s">
        <v>32</v>
      </c>
      <c r="G30" s="4" t="s">
        <v>15</v>
      </c>
      <c r="H30" s="4">
        <v>2</v>
      </c>
      <c r="I30" s="4" t="s">
        <v>37</v>
      </c>
      <c r="J30" s="4" t="s">
        <v>34</v>
      </c>
      <c r="K30" s="4">
        <v>48</v>
      </c>
      <c r="L30" s="4" t="str">
        <f t="shared" si="0"/>
        <v>Middle Age</v>
      </c>
      <c r="M30" s="4" t="s">
        <v>15</v>
      </c>
    </row>
    <row r="31" spans="1:13" x14ac:dyDescent="0.3">
      <c r="A31" s="4">
        <v>30</v>
      </c>
      <c r="B31" s="4" t="s">
        <v>41</v>
      </c>
      <c r="C31" s="4" t="s">
        <v>12</v>
      </c>
      <c r="D31" s="4">
        <v>112329</v>
      </c>
      <c r="E31" s="4" t="s">
        <v>26</v>
      </c>
      <c r="F31" s="4" t="s">
        <v>21</v>
      </c>
      <c r="G31" s="4" t="s">
        <v>15</v>
      </c>
      <c r="H31" s="4">
        <v>3</v>
      </c>
      <c r="I31" s="4" t="s">
        <v>16</v>
      </c>
      <c r="J31" s="4" t="s">
        <v>17</v>
      </c>
      <c r="K31" s="4">
        <v>45</v>
      </c>
      <c r="L31" s="4" t="str">
        <f t="shared" si="0"/>
        <v>Middle Age</v>
      </c>
      <c r="M31" s="4" t="s">
        <v>15</v>
      </c>
    </row>
    <row r="32" spans="1:13" x14ac:dyDescent="0.3">
      <c r="A32" s="4">
        <v>31</v>
      </c>
      <c r="B32" s="4" t="s">
        <v>40</v>
      </c>
      <c r="C32" s="4" t="s">
        <v>12</v>
      </c>
      <c r="D32" s="4">
        <v>92025</v>
      </c>
      <c r="E32" s="4" t="s">
        <v>20</v>
      </c>
      <c r="F32" s="4" t="s">
        <v>35</v>
      </c>
      <c r="G32" s="4" t="s">
        <v>15</v>
      </c>
      <c r="H32" s="4">
        <v>1</v>
      </c>
      <c r="I32" s="4" t="s">
        <v>23</v>
      </c>
      <c r="J32" s="4" t="s">
        <v>34</v>
      </c>
      <c r="K32" s="4">
        <v>46</v>
      </c>
      <c r="L32" s="4" t="str">
        <f t="shared" si="0"/>
        <v>Middle Age</v>
      </c>
      <c r="M32" s="4" t="s">
        <v>15</v>
      </c>
    </row>
    <row r="33" spans="1:13" x14ac:dyDescent="0.3">
      <c r="A33" s="4">
        <v>32</v>
      </c>
      <c r="B33" s="4" t="s">
        <v>41</v>
      </c>
      <c r="C33" s="4" t="s">
        <v>12</v>
      </c>
      <c r="D33" s="4">
        <v>99838</v>
      </c>
      <c r="E33" s="4" t="s">
        <v>20</v>
      </c>
      <c r="F33" s="4" t="s">
        <v>14</v>
      </c>
      <c r="G33" s="4" t="s">
        <v>15</v>
      </c>
      <c r="H33" s="4">
        <v>1</v>
      </c>
      <c r="I33" s="4" t="s">
        <v>16</v>
      </c>
      <c r="J33" s="4" t="s">
        <v>34</v>
      </c>
      <c r="K33" s="4">
        <v>27</v>
      </c>
      <c r="L33" s="4" t="str">
        <f t="shared" si="0"/>
        <v>Adolescent</v>
      </c>
      <c r="M33" s="4" t="s">
        <v>15</v>
      </c>
    </row>
    <row r="34" spans="1:13" x14ac:dyDescent="0.3">
      <c r="A34" s="4">
        <v>33</v>
      </c>
      <c r="B34" s="4" t="s">
        <v>40</v>
      </c>
      <c r="C34" s="4" t="s">
        <v>19</v>
      </c>
      <c r="D34" s="4">
        <v>109989</v>
      </c>
      <c r="E34" s="4" t="s">
        <v>20</v>
      </c>
      <c r="F34" s="4" t="s">
        <v>21</v>
      </c>
      <c r="G34" s="4" t="s">
        <v>22</v>
      </c>
      <c r="H34" s="4">
        <v>2</v>
      </c>
      <c r="I34" s="4" t="s">
        <v>27</v>
      </c>
      <c r="J34" s="4" t="s">
        <v>34</v>
      </c>
      <c r="K34" s="4">
        <v>34</v>
      </c>
      <c r="L34" s="4" t="str">
        <f t="shared" si="0"/>
        <v>Middle Age</v>
      </c>
      <c r="M34" s="4" t="s">
        <v>22</v>
      </c>
    </row>
    <row r="35" spans="1:13" x14ac:dyDescent="0.3">
      <c r="A35" s="4">
        <v>34</v>
      </c>
      <c r="B35" s="4" t="s">
        <v>41</v>
      </c>
      <c r="C35" s="4" t="s">
        <v>12</v>
      </c>
      <c r="D35" s="4">
        <v>36219</v>
      </c>
      <c r="E35" s="4" t="s">
        <v>13</v>
      </c>
      <c r="F35" s="4" t="s">
        <v>21</v>
      </c>
      <c r="G35" s="4" t="s">
        <v>15</v>
      </c>
      <c r="H35" s="4">
        <v>1</v>
      </c>
      <c r="I35" s="4" t="s">
        <v>16</v>
      </c>
      <c r="J35" s="4" t="s">
        <v>34</v>
      </c>
      <c r="K35" s="4">
        <v>34</v>
      </c>
      <c r="L35" s="4" t="str">
        <f t="shared" si="0"/>
        <v>Middle Age</v>
      </c>
      <c r="M35" s="4" t="s">
        <v>15</v>
      </c>
    </row>
    <row r="36" spans="1:13" x14ac:dyDescent="0.3">
      <c r="A36" s="4">
        <v>35</v>
      </c>
      <c r="B36" s="4" t="s">
        <v>40</v>
      </c>
      <c r="C36" s="4" t="s">
        <v>12</v>
      </c>
      <c r="D36" s="4">
        <v>57629</v>
      </c>
      <c r="E36" s="4" t="s">
        <v>31</v>
      </c>
      <c r="F36" s="4" t="s">
        <v>14</v>
      </c>
      <c r="G36" s="4" t="s">
        <v>15</v>
      </c>
      <c r="H36" s="4">
        <v>3</v>
      </c>
      <c r="I36" s="4" t="s">
        <v>23</v>
      </c>
      <c r="J36" s="4" t="s">
        <v>24</v>
      </c>
      <c r="K36" s="4">
        <v>56</v>
      </c>
      <c r="L36" s="4" t="str">
        <f t="shared" si="0"/>
        <v>Old</v>
      </c>
      <c r="M36" s="4" t="s">
        <v>15</v>
      </c>
    </row>
    <row r="37" spans="1:13" x14ac:dyDescent="0.3">
      <c r="A37" s="4">
        <v>36</v>
      </c>
      <c r="B37" s="4" t="s">
        <v>41</v>
      </c>
      <c r="C37" s="4" t="s">
        <v>19</v>
      </c>
      <c r="D37" s="4">
        <v>67156</v>
      </c>
      <c r="E37" s="4" t="s">
        <v>31</v>
      </c>
      <c r="F37" s="4" t="s">
        <v>35</v>
      </c>
      <c r="G37" s="4" t="s">
        <v>22</v>
      </c>
      <c r="H37" s="4">
        <v>3</v>
      </c>
      <c r="I37" s="4" t="s">
        <v>27</v>
      </c>
      <c r="J37" s="4" t="s">
        <v>17</v>
      </c>
      <c r="K37" s="4">
        <v>39</v>
      </c>
      <c r="L37" s="4" t="str">
        <f t="shared" si="0"/>
        <v>Middle Age</v>
      </c>
      <c r="M37" s="4" t="s">
        <v>15</v>
      </c>
    </row>
    <row r="38" spans="1:13" x14ac:dyDescent="0.3">
      <c r="A38" s="4">
        <v>37</v>
      </c>
      <c r="B38" s="4" t="s">
        <v>40</v>
      </c>
      <c r="C38" s="4" t="s">
        <v>12</v>
      </c>
      <c r="D38" s="4">
        <v>80643</v>
      </c>
      <c r="E38" s="4" t="s">
        <v>31</v>
      </c>
      <c r="F38" s="4" t="s">
        <v>14</v>
      </c>
      <c r="G38" s="4" t="s">
        <v>22</v>
      </c>
      <c r="H38" s="4">
        <v>0</v>
      </c>
      <c r="I38" s="4" t="s">
        <v>23</v>
      </c>
      <c r="J38" s="4" t="s">
        <v>17</v>
      </c>
      <c r="K38" s="4">
        <v>59</v>
      </c>
      <c r="L38" s="4" t="str">
        <f t="shared" si="0"/>
        <v>Old</v>
      </c>
      <c r="M38" s="4" t="s">
        <v>15</v>
      </c>
    </row>
    <row r="39" spans="1:13" x14ac:dyDescent="0.3">
      <c r="A39" s="4">
        <v>38</v>
      </c>
      <c r="B39" s="4" t="s">
        <v>40</v>
      </c>
      <c r="C39" s="4" t="s">
        <v>12</v>
      </c>
      <c r="D39" s="4">
        <v>59204</v>
      </c>
      <c r="E39" s="4" t="s">
        <v>31</v>
      </c>
      <c r="F39" s="4" t="s">
        <v>32</v>
      </c>
      <c r="G39" s="4" t="s">
        <v>15</v>
      </c>
      <c r="H39" s="4">
        <v>1</v>
      </c>
      <c r="I39" s="4" t="s">
        <v>27</v>
      </c>
      <c r="J39" s="4" t="s">
        <v>34</v>
      </c>
      <c r="K39" s="4">
        <v>35</v>
      </c>
      <c r="L39" s="4" t="str">
        <f t="shared" si="0"/>
        <v>Middle Age</v>
      </c>
      <c r="M39" s="4" t="s">
        <v>22</v>
      </c>
    </row>
    <row r="40" spans="1:13" x14ac:dyDescent="0.3">
      <c r="A40" s="4">
        <v>39</v>
      </c>
      <c r="B40" s="4" t="s">
        <v>40</v>
      </c>
      <c r="C40" s="4" t="s">
        <v>12</v>
      </c>
      <c r="D40" s="4">
        <v>78285</v>
      </c>
      <c r="E40" s="4" t="s">
        <v>26</v>
      </c>
      <c r="F40" s="4" t="s">
        <v>21</v>
      </c>
      <c r="G40" s="4" t="s">
        <v>22</v>
      </c>
      <c r="H40" s="4">
        <v>3</v>
      </c>
      <c r="I40" s="4" t="s">
        <v>27</v>
      </c>
      <c r="J40" s="4" t="s">
        <v>24</v>
      </c>
      <c r="K40" s="4">
        <v>39</v>
      </c>
      <c r="L40" s="4" t="str">
        <f t="shared" si="0"/>
        <v>Middle Age</v>
      </c>
      <c r="M40" s="4" t="s">
        <v>15</v>
      </c>
    </row>
    <row r="41" spans="1:13" x14ac:dyDescent="0.3">
      <c r="A41" s="4">
        <v>40</v>
      </c>
      <c r="B41" s="4" t="s">
        <v>41</v>
      </c>
      <c r="C41" s="4" t="s">
        <v>12</v>
      </c>
      <c r="D41" s="4">
        <v>79173</v>
      </c>
      <c r="E41" s="4" t="s">
        <v>20</v>
      </c>
      <c r="F41" s="4" t="s">
        <v>32</v>
      </c>
      <c r="G41" s="4" t="s">
        <v>15</v>
      </c>
      <c r="H41" s="4">
        <v>3</v>
      </c>
      <c r="I41" s="4" t="s">
        <v>27</v>
      </c>
      <c r="J41" s="4" t="s">
        <v>24</v>
      </c>
      <c r="K41" s="4">
        <v>43</v>
      </c>
      <c r="L41" s="4" t="str">
        <f t="shared" si="0"/>
        <v>Middle Age</v>
      </c>
      <c r="M41" s="4" t="s">
        <v>15</v>
      </c>
    </row>
    <row r="42" spans="1:13" x14ac:dyDescent="0.3">
      <c r="A42" s="4">
        <v>41</v>
      </c>
      <c r="B42" s="4" t="s">
        <v>40</v>
      </c>
      <c r="C42" s="4" t="s">
        <v>19</v>
      </c>
      <c r="D42" s="4">
        <v>64211</v>
      </c>
      <c r="E42" s="4" t="s">
        <v>13</v>
      </c>
      <c r="F42" s="4" t="s">
        <v>21</v>
      </c>
      <c r="G42" s="4" t="s">
        <v>15</v>
      </c>
      <c r="H42" s="4">
        <v>2</v>
      </c>
      <c r="I42" s="4" t="s">
        <v>37</v>
      </c>
      <c r="J42" s="4" t="s">
        <v>28</v>
      </c>
      <c r="K42" s="4">
        <v>38</v>
      </c>
      <c r="L42" s="4" t="str">
        <f t="shared" si="0"/>
        <v>Middle Age</v>
      </c>
      <c r="M42" s="4" t="s">
        <v>22</v>
      </c>
    </row>
    <row r="43" spans="1:13" x14ac:dyDescent="0.3">
      <c r="A43" s="4">
        <v>42</v>
      </c>
      <c r="B43" s="4" t="s">
        <v>41</v>
      </c>
      <c r="C43" s="4" t="s">
        <v>19</v>
      </c>
      <c r="D43" s="4">
        <v>20599</v>
      </c>
      <c r="E43" s="4" t="s">
        <v>13</v>
      </c>
      <c r="F43" s="4" t="s">
        <v>32</v>
      </c>
      <c r="G43" s="4" t="s">
        <v>15</v>
      </c>
      <c r="H43" s="4">
        <v>2</v>
      </c>
      <c r="I43" s="4" t="s">
        <v>37</v>
      </c>
      <c r="J43" s="4" t="s">
        <v>34</v>
      </c>
      <c r="K43" s="4">
        <v>51</v>
      </c>
      <c r="L43" s="4" t="str">
        <f t="shared" si="0"/>
        <v>Middle Age</v>
      </c>
      <c r="M43" s="4" t="s">
        <v>15</v>
      </c>
    </row>
    <row r="44" spans="1:13" x14ac:dyDescent="0.3">
      <c r="A44" s="4">
        <v>43</v>
      </c>
      <c r="B44" s="4" t="s">
        <v>42</v>
      </c>
      <c r="C44" s="4" t="s">
        <v>12</v>
      </c>
      <c r="D44" s="4">
        <v>42594</v>
      </c>
      <c r="E44" s="4" t="s">
        <v>20</v>
      </c>
      <c r="F44" s="4" t="s">
        <v>14</v>
      </c>
      <c r="G44" s="4" t="s">
        <v>22</v>
      </c>
      <c r="H44" s="4">
        <v>0</v>
      </c>
      <c r="I44" s="4" t="s">
        <v>33</v>
      </c>
      <c r="J44" s="4" t="s">
        <v>28</v>
      </c>
      <c r="K44" s="4">
        <v>26</v>
      </c>
      <c r="L44" s="4" t="str">
        <f t="shared" si="0"/>
        <v>Adolescent</v>
      </c>
      <c r="M44" s="4" t="s">
        <v>15</v>
      </c>
    </row>
    <row r="45" spans="1:13" x14ac:dyDescent="0.3">
      <c r="A45" s="4">
        <v>44</v>
      </c>
      <c r="B45" s="4" t="s">
        <v>40</v>
      </c>
      <c r="C45" s="4" t="s">
        <v>19</v>
      </c>
      <c r="D45" s="4">
        <v>58484</v>
      </c>
      <c r="E45" s="4" t="s">
        <v>20</v>
      </c>
      <c r="F45" s="4" t="s">
        <v>14</v>
      </c>
      <c r="G45" s="4" t="s">
        <v>22</v>
      </c>
      <c r="H45" s="4">
        <v>0</v>
      </c>
      <c r="I45" s="4" t="s">
        <v>37</v>
      </c>
      <c r="J45" s="4" t="s">
        <v>28</v>
      </c>
      <c r="K45" s="4">
        <v>23</v>
      </c>
      <c r="L45" s="4" t="str">
        <f t="shared" si="0"/>
        <v>Adolescent</v>
      </c>
      <c r="M45" s="4" t="s">
        <v>22</v>
      </c>
    </row>
    <row r="46" spans="1:13" x14ac:dyDescent="0.3">
      <c r="A46" s="4">
        <v>45</v>
      </c>
      <c r="B46" s="4" t="s">
        <v>41</v>
      </c>
      <c r="C46" s="4" t="s">
        <v>19</v>
      </c>
      <c r="D46" s="4">
        <v>29757</v>
      </c>
      <c r="E46" s="4" t="s">
        <v>13</v>
      </c>
      <c r="F46" s="4" t="s">
        <v>32</v>
      </c>
      <c r="G46" s="4" t="s">
        <v>22</v>
      </c>
      <c r="H46" s="4">
        <v>0</v>
      </c>
      <c r="I46" s="4" t="s">
        <v>16</v>
      </c>
      <c r="J46" s="4" t="s">
        <v>24</v>
      </c>
      <c r="K46" s="4">
        <v>33</v>
      </c>
      <c r="L46" s="4" t="str">
        <f t="shared" si="0"/>
        <v>Middle Age</v>
      </c>
      <c r="M46" s="4" t="s">
        <v>15</v>
      </c>
    </row>
    <row r="47" spans="1:13" x14ac:dyDescent="0.3">
      <c r="A47" s="4">
        <v>46</v>
      </c>
      <c r="B47" s="4" t="s">
        <v>40</v>
      </c>
      <c r="C47" s="4" t="s">
        <v>12</v>
      </c>
      <c r="D47" s="4">
        <v>45010</v>
      </c>
      <c r="E47" s="4" t="s">
        <v>20</v>
      </c>
      <c r="F47" s="4" t="s">
        <v>35</v>
      </c>
      <c r="G47" s="4" t="s">
        <v>22</v>
      </c>
      <c r="H47" s="4">
        <v>3</v>
      </c>
      <c r="I47" s="4" t="s">
        <v>23</v>
      </c>
      <c r="J47" s="4" t="s">
        <v>28</v>
      </c>
      <c r="K47" s="4">
        <v>28</v>
      </c>
      <c r="L47" s="4" t="str">
        <f t="shared" si="0"/>
        <v>Adolescent</v>
      </c>
      <c r="M47" s="4" t="s">
        <v>15</v>
      </c>
    </row>
    <row r="48" spans="1:13" x14ac:dyDescent="0.3">
      <c r="A48" s="4">
        <v>47</v>
      </c>
      <c r="B48" s="4" t="s">
        <v>40</v>
      </c>
      <c r="C48" s="4" t="s">
        <v>12</v>
      </c>
      <c r="D48" s="4">
        <v>84175</v>
      </c>
      <c r="E48" s="4" t="s">
        <v>26</v>
      </c>
      <c r="F48" s="4" t="s">
        <v>35</v>
      </c>
      <c r="G48" s="4" t="s">
        <v>15</v>
      </c>
      <c r="H48" s="4">
        <v>3</v>
      </c>
      <c r="I48" s="4" t="s">
        <v>37</v>
      </c>
      <c r="J48" s="4" t="s">
        <v>17</v>
      </c>
      <c r="K48" s="4">
        <v>54</v>
      </c>
      <c r="L48" s="4" t="str">
        <f t="shared" si="0"/>
        <v>Middle Age</v>
      </c>
      <c r="M48" s="4" t="s">
        <v>15</v>
      </c>
    </row>
    <row r="49" spans="1:13" x14ac:dyDescent="0.3">
      <c r="A49" s="4">
        <v>48</v>
      </c>
      <c r="B49" s="4" t="s">
        <v>41</v>
      </c>
      <c r="C49" s="4" t="s">
        <v>12</v>
      </c>
      <c r="D49" s="4">
        <v>31843</v>
      </c>
      <c r="E49" s="4" t="s">
        <v>13</v>
      </c>
      <c r="F49" s="4" t="s">
        <v>32</v>
      </c>
      <c r="G49" s="4" t="s">
        <v>22</v>
      </c>
      <c r="H49" s="4">
        <v>1</v>
      </c>
      <c r="I49" s="4" t="s">
        <v>33</v>
      </c>
      <c r="J49" s="4" t="s">
        <v>34</v>
      </c>
      <c r="K49" s="4">
        <v>44</v>
      </c>
      <c r="L49" s="4" t="str">
        <f t="shared" si="0"/>
        <v>Middle Age</v>
      </c>
      <c r="M49" s="4" t="s">
        <v>15</v>
      </c>
    </row>
    <row r="50" spans="1:13" x14ac:dyDescent="0.3">
      <c r="A50" s="4">
        <v>49</v>
      </c>
      <c r="B50" s="4" t="s">
        <v>40</v>
      </c>
      <c r="C50" s="4" t="s">
        <v>19</v>
      </c>
      <c r="D50" s="4">
        <v>43294</v>
      </c>
      <c r="E50" s="4" t="s">
        <v>31</v>
      </c>
      <c r="F50" s="4" t="s">
        <v>21</v>
      </c>
      <c r="G50" s="4" t="s">
        <v>22</v>
      </c>
      <c r="H50" s="4">
        <v>0</v>
      </c>
      <c r="I50" s="4" t="s">
        <v>27</v>
      </c>
      <c r="J50" s="4" t="s">
        <v>34</v>
      </c>
      <c r="K50" s="4">
        <v>58</v>
      </c>
      <c r="L50" s="4" t="str">
        <f t="shared" si="0"/>
        <v>Old</v>
      </c>
      <c r="M50" s="4" t="s">
        <v>15</v>
      </c>
    </row>
    <row r="51" spans="1:13" x14ac:dyDescent="0.3">
      <c r="A51" s="4">
        <v>50</v>
      </c>
      <c r="B51" s="4" t="s">
        <v>40</v>
      </c>
      <c r="C51" s="4" t="s">
        <v>12</v>
      </c>
      <c r="D51" s="4">
        <v>116554</v>
      </c>
      <c r="E51" s="4" t="s">
        <v>20</v>
      </c>
      <c r="F51" s="4" t="s">
        <v>35</v>
      </c>
      <c r="G51" s="4" t="s">
        <v>22</v>
      </c>
      <c r="H51" s="4">
        <v>3</v>
      </c>
      <c r="I51" s="4" t="s">
        <v>16</v>
      </c>
      <c r="J51" s="4" t="s">
        <v>24</v>
      </c>
      <c r="K51" s="4">
        <v>52</v>
      </c>
      <c r="L51" s="4" t="str">
        <f t="shared" si="0"/>
        <v>Middle Age</v>
      </c>
      <c r="M51" s="4" t="s">
        <v>15</v>
      </c>
    </row>
    <row r="52" spans="1:13" x14ac:dyDescent="0.3">
      <c r="A52" s="4">
        <v>51</v>
      </c>
      <c r="B52" s="4" t="s">
        <v>41</v>
      </c>
      <c r="C52" s="4" t="s">
        <v>12</v>
      </c>
      <c r="D52" s="4">
        <v>83276</v>
      </c>
      <c r="E52" s="4" t="s">
        <v>20</v>
      </c>
      <c r="F52" s="4" t="s">
        <v>14</v>
      </c>
      <c r="G52" s="4" t="s">
        <v>15</v>
      </c>
      <c r="H52" s="4">
        <v>2</v>
      </c>
      <c r="I52" s="4" t="s">
        <v>33</v>
      </c>
      <c r="J52" s="4" t="s">
        <v>24</v>
      </c>
      <c r="K52" s="4">
        <v>27</v>
      </c>
      <c r="L52" s="4" t="str">
        <f t="shared" si="0"/>
        <v>Adolescent</v>
      </c>
      <c r="M52" s="4" t="s">
        <v>22</v>
      </c>
    </row>
    <row r="53" spans="1:13" x14ac:dyDescent="0.3">
      <c r="A53" s="4">
        <v>52</v>
      </c>
      <c r="B53" s="4" t="s">
        <v>41</v>
      </c>
      <c r="C53" s="4" t="s">
        <v>19</v>
      </c>
      <c r="D53" s="4">
        <v>103446</v>
      </c>
      <c r="E53" s="4" t="s">
        <v>31</v>
      </c>
      <c r="F53" s="4" t="s">
        <v>21</v>
      </c>
      <c r="G53" s="4" t="s">
        <v>22</v>
      </c>
      <c r="H53" s="4">
        <v>3</v>
      </c>
      <c r="I53" s="4" t="s">
        <v>27</v>
      </c>
      <c r="J53" s="4" t="s">
        <v>34</v>
      </c>
      <c r="K53" s="4">
        <v>18</v>
      </c>
      <c r="L53" s="4" t="str">
        <f t="shared" si="0"/>
        <v>Adolescent</v>
      </c>
      <c r="M53" s="4" t="s">
        <v>15</v>
      </c>
    </row>
    <row r="54" spans="1:13" x14ac:dyDescent="0.3">
      <c r="A54" s="4">
        <v>53</v>
      </c>
      <c r="B54" s="4" t="s">
        <v>40</v>
      </c>
      <c r="C54" s="4" t="s">
        <v>19</v>
      </c>
      <c r="D54" s="4">
        <v>87299</v>
      </c>
      <c r="E54" s="4" t="s">
        <v>26</v>
      </c>
      <c r="F54" s="4" t="s">
        <v>32</v>
      </c>
      <c r="G54" s="4" t="s">
        <v>15</v>
      </c>
      <c r="H54" s="4">
        <v>3</v>
      </c>
      <c r="I54" s="4" t="s">
        <v>16</v>
      </c>
      <c r="J54" s="4" t="s">
        <v>17</v>
      </c>
      <c r="K54" s="4">
        <v>20</v>
      </c>
      <c r="L54" s="4" t="str">
        <f t="shared" si="0"/>
        <v>Adolescent</v>
      </c>
      <c r="M54" s="4" t="s">
        <v>15</v>
      </c>
    </row>
    <row r="55" spans="1:13" x14ac:dyDescent="0.3">
      <c r="A55" s="4">
        <v>54</v>
      </c>
      <c r="B55" s="4" t="s">
        <v>41</v>
      </c>
      <c r="C55" s="4" t="s">
        <v>19</v>
      </c>
      <c r="D55" s="4">
        <v>109321</v>
      </c>
      <c r="E55" s="4" t="s">
        <v>31</v>
      </c>
      <c r="F55" s="4" t="s">
        <v>35</v>
      </c>
      <c r="G55" s="4" t="s">
        <v>22</v>
      </c>
      <c r="H55" s="4">
        <v>3</v>
      </c>
      <c r="I55" s="4" t="s">
        <v>16</v>
      </c>
      <c r="J55" s="4" t="s">
        <v>17</v>
      </c>
      <c r="K55" s="4">
        <v>51</v>
      </c>
      <c r="L55" s="4" t="str">
        <f t="shared" si="0"/>
        <v>Middle Age</v>
      </c>
      <c r="M55" s="4" t="s">
        <v>15</v>
      </c>
    </row>
    <row r="56" spans="1:13" x14ac:dyDescent="0.3">
      <c r="A56" s="4">
        <v>55</v>
      </c>
      <c r="B56" s="4" t="s">
        <v>40</v>
      </c>
      <c r="C56" s="4" t="s">
        <v>19</v>
      </c>
      <c r="D56" s="4">
        <v>31722</v>
      </c>
      <c r="E56" s="4" t="s">
        <v>31</v>
      </c>
      <c r="F56" s="4" t="s">
        <v>21</v>
      </c>
      <c r="G56" s="4" t="s">
        <v>15</v>
      </c>
      <c r="H56" s="4">
        <v>0</v>
      </c>
      <c r="I56" s="4" t="s">
        <v>37</v>
      </c>
      <c r="J56" s="4" t="s">
        <v>17</v>
      </c>
      <c r="K56" s="4">
        <v>40</v>
      </c>
      <c r="L56" s="4" t="str">
        <f t="shared" si="0"/>
        <v>Middle Age</v>
      </c>
      <c r="M56" s="4" t="s">
        <v>15</v>
      </c>
    </row>
    <row r="57" spans="1:13" x14ac:dyDescent="0.3">
      <c r="A57" s="4">
        <v>56</v>
      </c>
      <c r="B57" s="4" t="s">
        <v>41</v>
      </c>
      <c r="C57" s="4" t="s">
        <v>19</v>
      </c>
      <c r="D57" s="4">
        <v>71361</v>
      </c>
      <c r="E57" s="4" t="s">
        <v>20</v>
      </c>
      <c r="F57" s="4" t="s">
        <v>21</v>
      </c>
      <c r="G57" s="4" t="s">
        <v>15</v>
      </c>
      <c r="H57" s="4">
        <v>2</v>
      </c>
      <c r="I57" s="4" t="s">
        <v>33</v>
      </c>
      <c r="J57" s="4" t="s">
        <v>28</v>
      </c>
      <c r="K57" s="4">
        <v>54</v>
      </c>
      <c r="L57" s="4" t="str">
        <f t="shared" si="0"/>
        <v>Middle Age</v>
      </c>
      <c r="M57" s="4" t="s">
        <v>15</v>
      </c>
    </row>
    <row r="58" spans="1:13" x14ac:dyDescent="0.3">
      <c r="A58" s="4">
        <v>57</v>
      </c>
      <c r="B58" s="4" t="s">
        <v>41</v>
      </c>
      <c r="C58" s="4" t="s">
        <v>19</v>
      </c>
      <c r="D58" s="4">
        <v>89986</v>
      </c>
      <c r="E58" s="4" t="s">
        <v>26</v>
      </c>
      <c r="F58" s="4" t="s">
        <v>35</v>
      </c>
      <c r="G58" s="4" t="s">
        <v>22</v>
      </c>
      <c r="H58" s="4">
        <v>0</v>
      </c>
      <c r="I58" s="4" t="s">
        <v>16</v>
      </c>
      <c r="J58" s="4" t="s">
        <v>24</v>
      </c>
      <c r="K58" s="4">
        <v>24</v>
      </c>
      <c r="L58" s="4" t="str">
        <f t="shared" si="0"/>
        <v>Adolescent</v>
      </c>
      <c r="M58" s="4" t="s">
        <v>15</v>
      </c>
    </row>
    <row r="59" spans="1:13" x14ac:dyDescent="0.3">
      <c r="A59" s="4">
        <v>58</v>
      </c>
      <c r="B59" s="4" t="s">
        <v>40</v>
      </c>
      <c r="C59" s="4" t="s">
        <v>19</v>
      </c>
      <c r="D59" s="4">
        <v>96665</v>
      </c>
      <c r="E59" s="4" t="s">
        <v>13</v>
      </c>
      <c r="F59" s="4" t="s">
        <v>14</v>
      </c>
      <c r="G59" s="4" t="s">
        <v>22</v>
      </c>
      <c r="H59" s="4">
        <v>0</v>
      </c>
      <c r="I59" s="4" t="s">
        <v>27</v>
      </c>
      <c r="J59" s="4" t="s">
        <v>28</v>
      </c>
      <c r="K59" s="4">
        <v>56</v>
      </c>
      <c r="L59" s="4" t="str">
        <f t="shared" si="0"/>
        <v>Old</v>
      </c>
      <c r="M59" s="4" t="s">
        <v>15</v>
      </c>
    </row>
    <row r="60" spans="1:13" x14ac:dyDescent="0.3">
      <c r="A60" s="4">
        <v>59</v>
      </c>
      <c r="B60" s="4" t="s">
        <v>41</v>
      </c>
      <c r="C60" s="4" t="s">
        <v>12</v>
      </c>
      <c r="D60" s="4">
        <v>52588</v>
      </c>
      <c r="E60" s="4" t="s">
        <v>31</v>
      </c>
      <c r="F60" s="4" t="s">
        <v>14</v>
      </c>
      <c r="G60" s="4" t="s">
        <v>15</v>
      </c>
      <c r="H60" s="4">
        <v>2</v>
      </c>
      <c r="I60" s="4" t="s">
        <v>23</v>
      </c>
      <c r="J60" s="4" t="s">
        <v>34</v>
      </c>
      <c r="K60" s="4">
        <v>19</v>
      </c>
      <c r="L60" s="4" t="str">
        <f t="shared" si="0"/>
        <v>Adolescent</v>
      </c>
      <c r="M60" s="4" t="s">
        <v>22</v>
      </c>
    </row>
    <row r="61" spans="1:13" x14ac:dyDescent="0.3">
      <c r="A61" s="4">
        <v>60</v>
      </c>
      <c r="B61" s="4" t="s">
        <v>40</v>
      </c>
      <c r="C61" s="4" t="s">
        <v>12</v>
      </c>
      <c r="D61" s="4">
        <v>95898</v>
      </c>
      <c r="E61" s="4" t="s">
        <v>13</v>
      </c>
      <c r="F61" s="4" t="s">
        <v>32</v>
      </c>
      <c r="G61" s="4" t="s">
        <v>22</v>
      </c>
      <c r="H61" s="4">
        <v>1</v>
      </c>
      <c r="I61" s="4" t="s">
        <v>27</v>
      </c>
      <c r="J61" s="4" t="s">
        <v>24</v>
      </c>
      <c r="K61" s="4">
        <v>55</v>
      </c>
      <c r="L61" s="4" t="str">
        <f t="shared" si="0"/>
        <v>Old</v>
      </c>
      <c r="M61" s="4" t="s">
        <v>15</v>
      </c>
    </row>
    <row r="62" spans="1:13" x14ac:dyDescent="0.3">
      <c r="A62" s="4">
        <v>61</v>
      </c>
      <c r="B62" s="4" t="s">
        <v>41</v>
      </c>
      <c r="C62" s="4" t="s">
        <v>19</v>
      </c>
      <c r="D62" s="4">
        <v>113303</v>
      </c>
      <c r="E62" s="4" t="s">
        <v>26</v>
      </c>
      <c r="F62" s="4" t="s">
        <v>14</v>
      </c>
      <c r="G62" s="4" t="s">
        <v>15</v>
      </c>
      <c r="H62" s="4">
        <v>3</v>
      </c>
      <c r="I62" s="4" t="s">
        <v>37</v>
      </c>
      <c r="J62" s="4" t="s">
        <v>17</v>
      </c>
      <c r="K62" s="4">
        <v>42</v>
      </c>
      <c r="L62" s="4" t="str">
        <f t="shared" si="0"/>
        <v>Middle Age</v>
      </c>
      <c r="M62" s="4" t="s">
        <v>15</v>
      </c>
    </row>
    <row r="63" spans="1:13" x14ac:dyDescent="0.3">
      <c r="A63" s="4">
        <v>62</v>
      </c>
      <c r="B63" s="4" t="s">
        <v>41</v>
      </c>
      <c r="C63" s="4" t="s">
        <v>12</v>
      </c>
      <c r="D63" s="4">
        <v>26928</v>
      </c>
      <c r="E63" s="4" t="s">
        <v>20</v>
      </c>
      <c r="F63" s="4" t="s">
        <v>35</v>
      </c>
      <c r="G63" s="4" t="s">
        <v>22</v>
      </c>
      <c r="H63" s="4">
        <v>1</v>
      </c>
      <c r="I63" s="4" t="s">
        <v>16</v>
      </c>
      <c r="J63" s="4" t="s">
        <v>17</v>
      </c>
      <c r="K63" s="4">
        <v>20</v>
      </c>
      <c r="L63" s="4" t="str">
        <f t="shared" si="0"/>
        <v>Adolescent</v>
      </c>
      <c r="M63" s="4" t="s">
        <v>15</v>
      </c>
    </row>
    <row r="64" spans="1:13" x14ac:dyDescent="0.3">
      <c r="A64" s="4">
        <v>63</v>
      </c>
      <c r="B64" s="4" t="s">
        <v>40</v>
      </c>
      <c r="C64" s="4" t="s">
        <v>12</v>
      </c>
      <c r="D64" s="4">
        <v>81284</v>
      </c>
      <c r="E64" s="4" t="s">
        <v>13</v>
      </c>
      <c r="F64" s="4" t="s">
        <v>36</v>
      </c>
      <c r="G64" s="4" t="s">
        <v>15</v>
      </c>
      <c r="H64" s="4">
        <v>1</v>
      </c>
      <c r="I64" s="4" t="s">
        <v>33</v>
      </c>
      <c r="J64" s="4" t="s">
        <v>34</v>
      </c>
      <c r="K64" s="4">
        <v>23</v>
      </c>
      <c r="L64" s="4" t="str">
        <f t="shared" si="0"/>
        <v>Adolescent</v>
      </c>
      <c r="M64" s="4" t="s">
        <v>15</v>
      </c>
    </row>
    <row r="65" spans="1:13" x14ac:dyDescent="0.3">
      <c r="A65" s="4">
        <v>64</v>
      </c>
      <c r="B65" s="4" t="s">
        <v>41</v>
      </c>
      <c r="C65" s="4" t="s">
        <v>12</v>
      </c>
      <c r="D65" s="4">
        <v>93263</v>
      </c>
      <c r="E65" s="4" t="s">
        <v>31</v>
      </c>
      <c r="F65" s="4" t="s">
        <v>36</v>
      </c>
      <c r="G65" s="4" t="s">
        <v>22</v>
      </c>
      <c r="H65" s="4">
        <v>3</v>
      </c>
      <c r="I65" s="4" t="s">
        <v>27</v>
      </c>
      <c r="J65" s="4" t="s">
        <v>28</v>
      </c>
      <c r="K65" s="4">
        <v>54</v>
      </c>
      <c r="L65" s="4" t="str">
        <f t="shared" si="0"/>
        <v>Middle Age</v>
      </c>
      <c r="M65" s="4" t="s">
        <v>15</v>
      </c>
    </row>
    <row r="66" spans="1:13" x14ac:dyDescent="0.3">
      <c r="A66" s="4">
        <v>65</v>
      </c>
      <c r="B66" s="4" t="s">
        <v>41</v>
      </c>
      <c r="C66" s="4" t="s">
        <v>12</v>
      </c>
      <c r="D66" s="4">
        <v>105573</v>
      </c>
      <c r="E66" s="4" t="s">
        <v>26</v>
      </c>
      <c r="F66" s="4" t="s">
        <v>21</v>
      </c>
      <c r="G66" s="4" t="s">
        <v>22</v>
      </c>
      <c r="H66" s="4">
        <v>3</v>
      </c>
      <c r="I66" s="4" t="s">
        <v>33</v>
      </c>
      <c r="J66" s="4" t="s">
        <v>24</v>
      </c>
      <c r="K66" s="4">
        <v>32</v>
      </c>
      <c r="L66" s="4" t="str">
        <f t="shared" ref="L66:L129" si="1">IF(K66&gt;54,"Old",IF(K66&gt;31,"Middle Age",IF(K66&lt;31,"Adolescent","Invalid")))</f>
        <v>Middle Age</v>
      </c>
      <c r="M66" s="4" t="s">
        <v>15</v>
      </c>
    </row>
    <row r="67" spans="1:13" x14ac:dyDescent="0.3">
      <c r="A67" s="4">
        <v>66</v>
      </c>
      <c r="B67" s="4" t="s">
        <v>40</v>
      </c>
      <c r="C67" s="4" t="s">
        <v>19</v>
      </c>
      <c r="D67" s="4">
        <v>26048</v>
      </c>
      <c r="E67" s="4" t="s">
        <v>13</v>
      </c>
      <c r="F67" s="4" t="s">
        <v>14</v>
      </c>
      <c r="G67" s="4" t="s">
        <v>22</v>
      </c>
      <c r="H67" s="4">
        <v>3</v>
      </c>
      <c r="I67" s="4" t="s">
        <v>23</v>
      </c>
      <c r="J67" s="4" t="s">
        <v>28</v>
      </c>
      <c r="K67" s="4">
        <v>53</v>
      </c>
      <c r="L67" s="4" t="str">
        <f t="shared" si="1"/>
        <v>Middle Age</v>
      </c>
      <c r="M67" s="4" t="s">
        <v>15</v>
      </c>
    </row>
    <row r="68" spans="1:13" x14ac:dyDescent="0.3">
      <c r="A68" s="4">
        <v>67</v>
      </c>
      <c r="B68" s="4" t="s">
        <v>40</v>
      </c>
      <c r="C68" s="4" t="s">
        <v>19</v>
      </c>
      <c r="D68" s="4">
        <v>72068</v>
      </c>
      <c r="E68" s="4" t="s">
        <v>26</v>
      </c>
      <c r="F68" s="4" t="s">
        <v>14</v>
      </c>
      <c r="G68" s="4" t="s">
        <v>15</v>
      </c>
      <c r="H68" s="4">
        <v>0</v>
      </c>
      <c r="I68" s="4" t="s">
        <v>37</v>
      </c>
      <c r="J68" s="4" t="s">
        <v>28</v>
      </c>
      <c r="K68" s="4">
        <v>34</v>
      </c>
      <c r="L68" s="4" t="str">
        <f t="shared" si="1"/>
        <v>Middle Age</v>
      </c>
      <c r="M68" s="4" t="s">
        <v>22</v>
      </c>
    </row>
    <row r="69" spans="1:13" x14ac:dyDescent="0.3">
      <c r="A69" s="4">
        <v>68</v>
      </c>
      <c r="B69" s="4" t="s">
        <v>41</v>
      </c>
      <c r="C69" s="4" t="s">
        <v>19</v>
      </c>
      <c r="D69" s="4">
        <v>51797</v>
      </c>
      <c r="E69" s="4" t="s">
        <v>20</v>
      </c>
      <c r="F69" s="4" t="s">
        <v>21</v>
      </c>
      <c r="G69" s="4" t="s">
        <v>22</v>
      </c>
      <c r="H69" s="4">
        <v>0</v>
      </c>
      <c r="I69" s="4" t="s">
        <v>16</v>
      </c>
      <c r="J69" s="4" t="s">
        <v>34</v>
      </c>
      <c r="K69" s="4">
        <v>18</v>
      </c>
      <c r="L69" s="4" t="str">
        <f t="shared" si="1"/>
        <v>Adolescent</v>
      </c>
      <c r="M69" s="4" t="s">
        <v>15</v>
      </c>
    </row>
    <row r="70" spans="1:13" x14ac:dyDescent="0.3">
      <c r="A70" s="4">
        <v>69</v>
      </c>
      <c r="B70" s="4" t="s">
        <v>40</v>
      </c>
      <c r="C70" s="4" t="s">
        <v>19</v>
      </c>
      <c r="D70" s="4">
        <v>49259</v>
      </c>
      <c r="E70" s="4" t="s">
        <v>13</v>
      </c>
      <c r="F70" s="4" t="s">
        <v>14</v>
      </c>
      <c r="G70" s="4" t="s">
        <v>15</v>
      </c>
      <c r="H70" s="4">
        <v>1</v>
      </c>
      <c r="I70" s="4" t="s">
        <v>33</v>
      </c>
      <c r="J70" s="4" t="s">
        <v>24</v>
      </c>
      <c r="K70" s="4">
        <v>31</v>
      </c>
      <c r="L70" s="4" t="str">
        <f t="shared" si="1"/>
        <v>Invalid</v>
      </c>
      <c r="M70" s="4" t="s">
        <v>22</v>
      </c>
    </row>
    <row r="71" spans="1:13" x14ac:dyDescent="0.3">
      <c r="A71" s="4">
        <v>70</v>
      </c>
      <c r="B71" s="4" t="s">
        <v>40</v>
      </c>
      <c r="C71" s="4" t="s">
        <v>12</v>
      </c>
      <c r="D71" s="4">
        <v>59940</v>
      </c>
      <c r="E71" s="4" t="s">
        <v>13</v>
      </c>
      <c r="F71" s="4" t="s">
        <v>36</v>
      </c>
      <c r="G71" s="4" t="s">
        <v>22</v>
      </c>
      <c r="H71" s="4">
        <v>3</v>
      </c>
      <c r="I71" s="4" t="s">
        <v>23</v>
      </c>
      <c r="J71" s="4" t="s">
        <v>28</v>
      </c>
      <c r="K71" s="4">
        <v>44</v>
      </c>
      <c r="L71" s="4" t="str">
        <f t="shared" si="1"/>
        <v>Middle Age</v>
      </c>
      <c r="M71" s="4" t="s">
        <v>15</v>
      </c>
    </row>
    <row r="72" spans="1:13" x14ac:dyDescent="0.3">
      <c r="A72" s="4">
        <v>71</v>
      </c>
      <c r="B72" s="4" t="s">
        <v>40</v>
      </c>
      <c r="C72" s="4" t="s">
        <v>19</v>
      </c>
      <c r="D72" s="4">
        <v>112233</v>
      </c>
      <c r="E72" s="4" t="s">
        <v>31</v>
      </c>
      <c r="F72" s="4" t="s">
        <v>36</v>
      </c>
      <c r="G72" s="4" t="s">
        <v>22</v>
      </c>
      <c r="H72" s="4">
        <v>0</v>
      </c>
      <c r="I72" s="4" t="s">
        <v>33</v>
      </c>
      <c r="J72" s="4" t="s">
        <v>28</v>
      </c>
      <c r="K72" s="4">
        <v>25</v>
      </c>
      <c r="L72" s="4" t="str">
        <f t="shared" si="1"/>
        <v>Adolescent</v>
      </c>
      <c r="M72" s="4" t="s">
        <v>15</v>
      </c>
    </row>
    <row r="73" spans="1:13" x14ac:dyDescent="0.3">
      <c r="A73" s="4">
        <v>72</v>
      </c>
      <c r="B73" s="4" t="s">
        <v>40</v>
      </c>
      <c r="C73" s="4" t="s">
        <v>19</v>
      </c>
      <c r="D73" s="4">
        <v>64617</v>
      </c>
      <c r="E73" s="4" t="s">
        <v>13</v>
      </c>
      <c r="F73" s="4" t="s">
        <v>36</v>
      </c>
      <c r="G73" s="4" t="s">
        <v>15</v>
      </c>
      <c r="H73" s="4">
        <v>3</v>
      </c>
      <c r="I73" s="4" t="s">
        <v>27</v>
      </c>
      <c r="J73" s="4" t="s">
        <v>17</v>
      </c>
      <c r="K73" s="4">
        <v>50</v>
      </c>
      <c r="L73" s="4" t="str">
        <f t="shared" si="1"/>
        <v>Middle Age</v>
      </c>
      <c r="M73" s="4" t="s">
        <v>15</v>
      </c>
    </row>
    <row r="74" spans="1:13" x14ac:dyDescent="0.3">
      <c r="A74" s="4">
        <v>73</v>
      </c>
      <c r="B74" s="4" t="s">
        <v>41</v>
      </c>
      <c r="C74" s="4" t="s">
        <v>19</v>
      </c>
      <c r="D74" s="4">
        <v>96355</v>
      </c>
      <c r="E74" s="4" t="s">
        <v>20</v>
      </c>
      <c r="F74" s="4" t="s">
        <v>14</v>
      </c>
      <c r="G74" s="4" t="s">
        <v>22</v>
      </c>
      <c r="H74" s="4">
        <v>2</v>
      </c>
      <c r="I74" s="4" t="s">
        <v>37</v>
      </c>
      <c r="J74" s="4" t="s">
        <v>24</v>
      </c>
      <c r="K74" s="4">
        <v>57</v>
      </c>
      <c r="L74" s="4" t="str">
        <f t="shared" si="1"/>
        <v>Old</v>
      </c>
      <c r="M74" s="4" t="s">
        <v>15</v>
      </c>
    </row>
    <row r="75" spans="1:13" x14ac:dyDescent="0.3">
      <c r="A75" s="4">
        <v>74</v>
      </c>
      <c r="B75" s="4" t="s">
        <v>40</v>
      </c>
      <c r="C75" s="4" t="s">
        <v>19</v>
      </c>
      <c r="D75" s="4">
        <v>105897</v>
      </c>
      <c r="E75" s="4" t="s">
        <v>13</v>
      </c>
      <c r="F75" s="4" t="s">
        <v>36</v>
      </c>
      <c r="G75" s="4" t="s">
        <v>15</v>
      </c>
      <c r="H75" s="4">
        <v>0</v>
      </c>
      <c r="I75" s="4" t="s">
        <v>33</v>
      </c>
      <c r="J75" s="4" t="s">
        <v>17</v>
      </c>
      <c r="K75" s="4">
        <v>20</v>
      </c>
      <c r="L75" s="4" t="str">
        <f t="shared" si="1"/>
        <v>Adolescent</v>
      </c>
      <c r="M75" s="4" t="s">
        <v>15</v>
      </c>
    </row>
    <row r="76" spans="1:13" x14ac:dyDescent="0.3">
      <c r="A76" s="4">
        <v>75</v>
      </c>
      <c r="B76" s="4" t="s">
        <v>40</v>
      </c>
      <c r="C76" s="4" t="s">
        <v>12</v>
      </c>
      <c r="D76" s="4">
        <v>90139</v>
      </c>
      <c r="E76" s="4" t="s">
        <v>31</v>
      </c>
      <c r="F76" s="4" t="s">
        <v>35</v>
      </c>
      <c r="G76" s="4" t="s">
        <v>22</v>
      </c>
      <c r="H76" s="4">
        <v>2</v>
      </c>
      <c r="I76" s="4" t="s">
        <v>37</v>
      </c>
      <c r="J76" s="4" t="s">
        <v>34</v>
      </c>
      <c r="K76" s="4">
        <v>34</v>
      </c>
      <c r="L76" s="4" t="str">
        <f t="shared" si="1"/>
        <v>Middle Age</v>
      </c>
      <c r="M76" s="4" t="s">
        <v>15</v>
      </c>
    </row>
    <row r="77" spans="1:13" x14ac:dyDescent="0.3">
      <c r="A77" s="4">
        <v>76</v>
      </c>
      <c r="B77" s="4" t="s">
        <v>41</v>
      </c>
      <c r="C77" s="4" t="s">
        <v>12</v>
      </c>
      <c r="D77" s="4">
        <v>68407</v>
      </c>
      <c r="E77" s="4" t="s">
        <v>31</v>
      </c>
      <c r="F77" s="4" t="s">
        <v>36</v>
      </c>
      <c r="G77" s="4" t="s">
        <v>22</v>
      </c>
      <c r="H77" s="4">
        <v>3</v>
      </c>
      <c r="I77" s="4" t="s">
        <v>33</v>
      </c>
      <c r="J77" s="4" t="s">
        <v>34</v>
      </c>
      <c r="K77" s="4">
        <v>43</v>
      </c>
      <c r="L77" s="4" t="str">
        <f t="shared" si="1"/>
        <v>Middle Age</v>
      </c>
      <c r="M77" s="4" t="s">
        <v>15</v>
      </c>
    </row>
    <row r="78" spans="1:13" x14ac:dyDescent="0.3">
      <c r="A78" s="4">
        <v>77</v>
      </c>
      <c r="B78" s="4" t="s">
        <v>41</v>
      </c>
      <c r="C78" s="4" t="s">
        <v>19</v>
      </c>
      <c r="D78" s="4">
        <v>108660</v>
      </c>
      <c r="E78" s="4" t="s">
        <v>13</v>
      </c>
      <c r="F78" s="4" t="s">
        <v>14</v>
      </c>
      <c r="G78" s="4" t="s">
        <v>22</v>
      </c>
      <c r="H78" s="4">
        <v>0</v>
      </c>
      <c r="I78" s="4" t="s">
        <v>27</v>
      </c>
      <c r="J78" s="4" t="s">
        <v>17</v>
      </c>
      <c r="K78" s="4">
        <v>48</v>
      </c>
      <c r="L78" s="4" t="str">
        <f t="shared" si="1"/>
        <v>Middle Age</v>
      </c>
      <c r="M78" s="4" t="s">
        <v>15</v>
      </c>
    </row>
    <row r="79" spans="1:13" x14ac:dyDescent="0.3">
      <c r="A79" s="4">
        <v>78</v>
      </c>
      <c r="B79" s="4" t="s">
        <v>41</v>
      </c>
      <c r="C79" s="4" t="s">
        <v>19</v>
      </c>
      <c r="D79" s="4">
        <v>40378</v>
      </c>
      <c r="E79" s="4" t="s">
        <v>20</v>
      </c>
      <c r="F79" s="4" t="s">
        <v>14</v>
      </c>
      <c r="G79" s="4" t="s">
        <v>15</v>
      </c>
      <c r="H79" s="4">
        <v>2</v>
      </c>
      <c r="I79" s="4" t="s">
        <v>16</v>
      </c>
      <c r="J79" s="4" t="s">
        <v>24</v>
      </c>
      <c r="K79" s="4">
        <v>54</v>
      </c>
      <c r="L79" s="4" t="str">
        <f t="shared" si="1"/>
        <v>Middle Age</v>
      </c>
      <c r="M79" s="4" t="s">
        <v>15</v>
      </c>
    </row>
    <row r="80" spans="1:13" x14ac:dyDescent="0.3">
      <c r="A80" s="4">
        <v>79</v>
      </c>
      <c r="B80" s="4" t="s">
        <v>40</v>
      </c>
      <c r="C80" s="4" t="s">
        <v>19</v>
      </c>
      <c r="D80" s="4">
        <v>28969</v>
      </c>
      <c r="E80" s="4" t="s">
        <v>20</v>
      </c>
      <c r="F80" s="4" t="s">
        <v>36</v>
      </c>
      <c r="G80" s="4" t="s">
        <v>22</v>
      </c>
      <c r="H80" s="4">
        <v>1</v>
      </c>
      <c r="I80" s="4" t="s">
        <v>23</v>
      </c>
      <c r="J80" s="4" t="s">
        <v>17</v>
      </c>
      <c r="K80" s="4">
        <v>32</v>
      </c>
      <c r="L80" s="4" t="str">
        <f t="shared" si="1"/>
        <v>Middle Age</v>
      </c>
      <c r="M80" s="4" t="s">
        <v>15</v>
      </c>
    </row>
    <row r="81" spans="1:13" x14ac:dyDescent="0.3">
      <c r="A81" s="4">
        <v>80</v>
      </c>
      <c r="B81" s="4" t="s">
        <v>41</v>
      </c>
      <c r="C81" s="4" t="s">
        <v>19</v>
      </c>
      <c r="D81" s="4">
        <v>109936</v>
      </c>
      <c r="E81" s="4" t="s">
        <v>20</v>
      </c>
      <c r="F81" s="4" t="s">
        <v>36</v>
      </c>
      <c r="G81" s="4" t="s">
        <v>15</v>
      </c>
      <c r="H81" s="4">
        <v>0</v>
      </c>
      <c r="I81" s="4" t="s">
        <v>37</v>
      </c>
      <c r="J81" s="4" t="s">
        <v>24</v>
      </c>
      <c r="K81" s="4">
        <v>23</v>
      </c>
      <c r="L81" s="4" t="str">
        <f t="shared" si="1"/>
        <v>Adolescent</v>
      </c>
      <c r="M81" s="4" t="s">
        <v>15</v>
      </c>
    </row>
    <row r="82" spans="1:13" x14ac:dyDescent="0.3">
      <c r="A82" s="4">
        <v>81</v>
      </c>
      <c r="B82" s="4" t="s">
        <v>40</v>
      </c>
      <c r="C82" s="4" t="s">
        <v>12</v>
      </c>
      <c r="D82" s="4">
        <v>38041</v>
      </c>
      <c r="E82" s="4" t="s">
        <v>26</v>
      </c>
      <c r="F82" s="4" t="s">
        <v>21</v>
      </c>
      <c r="G82" s="4" t="s">
        <v>22</v>
      </c>
      <c r="H82" s="4">
        <v>2</v>
      </c>
      <c r="I82" s="4" t="s">
        <v>27</v>
      </c>
      <c r="J82" s="4" t="s">
        <v>34</v>
      </c>
      <c r="K82" s="4">
        <v>40</v>
      </c>
      <c r="L82" s="4" t="str">
        <f t="shared" si="1"/>
        <v>Middle Age</v>
      </c>
      <c r="M82" s="4" t="s">
        <v>15</v>
      </c>
    </row>
    <row r="83" spans="1:13" x14ac:dyDescent="0.3">
      <c r="A83" s="4">
        <v>82</v>
      </c>
      <c r="B83" s="4" t="s">
        <v>41</v>
      </c>
      <c r="C83" s="4" t="s">
        <v>19</v>
      </c>
      <c r="D83" s="4">
        <v>35895</v>
      </c>
      <c r="E83" s="4" t="s">
        <v>20</v>
      </c>
      <c r="F83" s="4" t="s">
        <v>32</v>
      </c>
      <c r="G83" s="4" t="s">
        <v>15</v>
      </c>
      <c r="H83" s="4">
        <v>0</v>
      </c>
      <c r="I83" s="4" t="s">
        <v>37</v>
      </c>
      <c r="J83" s="4" t="s">
        <v>17</v>
      </c>
      <c r="K83" s="4">
        <v>42</v>
      </c>
      <c r="L83" s="4" t="str">
        <f t="shared" si="1"/>
        <v>Middle Age</v>
      </c>
      <c r="M83" s="4" t="s">
        <v>15</v>
      </c>
    </row>
    <row r="84" spans="1:13" x14ac:dyDescent="0.3">
      <c r="A84" s="4">
        <v>83</v>
      </c>
      <c r="B84" s="4" t="s">
        <v>40</v>
      </c>
      <c r="C84" s="4" t="s">
        <v>19</v>
      </c>
      <c r="D84" s="4">
        <v>87850</v>
      </c>
      <c r="E84" s="4" t="s">
        <v>26</v>
      </c>
      <c r="F84" s="4" t="s">
        <v>36</v>
      </c>
      <c r="G84" s="4" t="s">
        <v>15</v>
      </c>
      <c r="H84" s="4">
        <v>3</v>
      </c>
      <c r="I84" s="4" t="s">
        <v>23</v>
      </c>
      <c r="J84" s="4" t="s">
        <v>17</v>
      </c>
      <c r="K84" s="4">
        <v>25</v>
      </c>
      <c r="L84" s="4" t="str">
        <f t="shared" si="1"/>
        <v>Adolescent</v>
      </c>
      <c r="M84" s="4" t="s">
        <v>15</v>
      </c>
    </row>
    <row r="85" spans="1:13" x14ac:dyDescent="0.3">
      <c r="A85" s="4">
        <v>84</v>
      </c>
      <c r="B85" s="4" t="s">
        <v>40</v>
      </c>
      <c r="C85" s="4" t="s">
        <v>19</v>
      </c>
      <c r="D85" s="4">
        <v>46440</v>
      </c>
      <c r="E85" s="4" t="s">
        <v>20</v>
      </c>
      <c r="F85" s="4" t="s">
        <v>21</v>
      </c>
      <c r="G85" s="4" t="s">
        <v>15</v>
      </c>
      <c r="H85" s="4">
        <v>2</v>
      </c>
      <c r="I85" s="4" t="s">
        <v>27</v>
      </c>
      <c r="J85" s="4" t="s">
        <v>28</v>
      </c>
      <c r="K85" s="4">
        <v>56</v>
      </c>
      <c r="L85" s="4" t="str">
        <f t="shared" si="1"/>
        <v>Old</v>
      </c>
      <c r="M85" s="4" t="s">
        <v>15</v>
      </c>
    </row>
    <row r="86" spans="1:13" x14ac:dyDescent="0.3">
      <c r="A86" s="4">
        <v>85</v>
      </c>
      <c r="B86" s="4" t="s">
        <v>41</v>
      </c>
      <c r="C86" s="4" t="s">
        <v>19</v>
      </c>
      <c r="D86" s="4">
        <v>30466</v>
      </c>
      <c r="E86" s="4" t="s">
        <v>20</v>
      </c>
      <c r="F86" s="4" t="s">
        <v>21</v>
      </c>
      <c r="G86" s="4" t="s">
        <v>22</v>
      </c>
      <c r="H86" s="4">
        <v>0</v>
      </c>
      <c r="I86" s="4" t="s">
        <v>33</v>
      </c>
      <c r="J86" s="4" t="s">
        <v>28</v>
      </c>
      <c r="K86" s="4">
        <v>29</v>
      </c>
      <c r="L86" s="4" t="str">
        <f t="shared" si="1"/>
        <v>Adolescent</v>
      </c>
      <c r="M86" s="4" t="s">
        <v>15</v>
      </c>
    </row>
    <row r="87" spans="1:13" x14ac:dyDescent="0.3">
      <c r="A87" s="4">
        <v>86</v>
      </c>
      <c r="B87" s="4" t="s">
        <v>41</v>
      </c>
      <c r="C87" s="4" t="s">
        <v>12</v>
      </c>
      <c r="D87" s="4">
        <v>84399</v>
      </c>
      <c r="E87" s="4" t="s">
        <v>26</v>
      </c>
      <c r="F87" s="4" t="s">
        <v>21</v>
      </c>
      <c r="G87" s="4" t="s">
        <v>22</v>
      </c>
      <c r="H87" s="4">
        <v>3</v>
      </c>
      <c r="I87" s="4" t="s">
        <v>16</v>
      </c>
      <c r="J87" s="4" t="s">
        <v>28</v>
      </c>
      <c r="K87" s="4">
        <v>35</v>
      </c>
      <c r="L87" s="4" t="str">
        <f t="shared" si="1"/>
        <v>Middle Age</v>
      </c>
      <c r="M87" s="4" t="s">
        <v>15</v>
      </c>
    </row>
    <row r="88" spans="1:13" x14ac:dyDescent="0.3">
      <c r="A88" s="4">
        <v>87</v>
      </c>
      <c r="B88" s="4" t="s">
        <v>41</v>
      </c>
      <c r="C88" s="4" t="s">
        <v>19</v>
      </c>
      <c r="D88" s="4">
        <v>25983</v>
      </c>
      <c r="E88" s="4" t="s">
        <v>20</v>
      </c>
      <c r="F88" s="4" t="s">
        <v>35</v>
      </c>
      <c r="G88" s="4" t="s">
        <v>15</v>
      </c>
      <c r="H88" s="4">
        <v>1</v>
      </c>
      <c r="I88" s="4" t="s">
        <v>23</v>
      </c>
      <c r="J88" s="4" t="s">
        <v>24</v>
      </c>
      <c r="K88" s="4">
        <v>48</v>
      </c>
      <c r="L88" s="4" t="str">
        <f t="shared" si="1"/>
        <v>Middle Age</v>
      </c>
      <c r="M88" s="4" t="s">
        <v>15</v>
      </c>
    </row>
    <row r="89" spans="1:13" x14ac:dyDescent="0.3">
      <c r="A89" s="4">
        <v>88</v>
      </c>
      <c r="B89" s="4" t="s">
        <v>40</v>
      </c>
      <c r="C89" s="4" t="s">
        <v>12</v>
      </c>
      <c r="D89" s="4">
        <v>26384</v>
      </c>
      <c r="E89" s="4" t="s">
        <v>31</v>
      </c>
      <c r="F89" s="4" t="s">
        <v>35</v>
      </c>
      <c r="G89" s="4" t="s">
        <v>22</v>
      </c>
      <c r="H89" s="4">
        <v>0</v>
      </c>
      <c r="I89" s="4" t="s">
        <v>23</v>
      </c>
      <c r="J89" s="4" t="s">
        <v>24</v>
      </c>
      <c r="K89" s="4">
        <v>24</v>
      </c>
      <c r="L89" s="4" t="str">
        <f t="shared" si="1"/>
        <v>Adolescent</v>
      </c>
      <c r="M89" s="4" t="s">
        <v>15</v>
      </c>
    </row>
    <row r="90" spans="1:13" x14ac:dyDescent="0.3">
      <c r="A90" s="4">
        <v>89</v>
      </c>
      <c r="B90" s="4" t="s">
        <v>41</v>
      </c>
      <c r="C90" s="4" t="s">
        <v>19</v>
      </c>
      <c r="D90" s="4">
        <v>48554</v>
      </c>
      <c r="E90" s="4" t="s">
        <v>13</v>
      </c>
      <c r="F90" s="4" t="s">
        <v>36</v>
      </c>
      <c r="G90" s="4" t="s">
        <v>15</v>
      </c>
      <c r="H90" s="4">
        <v>1</v>
      </c>
      <c r="I90" s="4" t="s">
        <v>33</v>
      </c>
      <c r="J90" s="4" t="s">
        <v>28</v>
      </c>
      <c r="K90" s="4">
        <v>18</v>
      </c>
      <c r="L90" s="4" t="str">
        <f t="shared" si="1"/>
        <v>Adolescent</v>
      </c>
      <c r="M90" s="4" t="s">
        <v>22</v>
      </c>
    </row>
    <row r="91" spans="1:13" x14ac:dyDescent="0.3">
      <c r="A91" s="4">
        <v>90</v>
      </c>
      <c r="B91" s="4" t="s">
        <v>40</v>
      </c>
      <c r="C91" s="4" t="s">
        <v>19</v>
      </c>
      <c r="D91" s="4">
        <v>23265</v>
      </c>
      <c r="E91" s="4" t="s">
        <v>20</v>
      </c>
      <c r="F91" s="4" t="s">
        <v>35</v>
      </c>
      <c r="G91" s="4" t="s">
        <v>22</v>
      </c>
      <c r="H91" s="4">
        <v>1</v>
      </c>
      <c r="I91" s="4" t="s">
        <v>33</v>
      </c>
      <c r="J91" s="4" t="s">
        <v>24</v>
      </c>
      <c r="K91" s="4">
        <v>31</v>
      </c>
      <c r="L91" s="4" t="str">
        <f t="shared" si="1"/>
        <v>Invalid</v>
      </c>
      <c r="M91" s="4" t="s">
        <v>15</v>
      </c>
    </row>
    <row r="92" spans="1:13" x14ac:dyDescent="0.3">
      <c r="A92" s="4">
        <v>91</v>
      </c>
      <c r="B92" s="4" t="s">
        <v>41</v>
      </c>
      <c r="C92" s="4" t="s">
        <v>12</v>
      </c>
      <c r="D92" s="4">
        <v>49508</v>
      </c>
      <c r="E92" s="4" t="s">
        <v>31</v>
      </c>
      <c r="F92" s="4" t="s">
        <v>32</v>
      </c>
      <c r="G92" s="4" t="s">
        <v>22</v>
      </c>
      <c r="H92" s="4">
        <v>3</v>
      </c>
      <c r="I92" s="4" t="s">
        <v>27</v>
      </c>
      <c r="J92" s="4" t="s">
        <v>17</v>
      </c>
      <c r="K92" s="4">
        <v>52</v>
      </c>
      <c r="L92" s="4" t="str">
        <f t="shared" si="1"/>
        <v>Middle Age</v>
      </c>
      <c r="M92" s="4" t="s">
        <v>15</v>
      </c>
    </row>
    <row r="93" spans="1:13" x14ac:dyDescent="0.3">
      <c r="A93" s="4">
        <v>92</v>
      </c>
      <c r="B93" s="4" t="s">
        <v>41</v>
      </c>
      <c r="C93" s="4" t="s">
        <v>12</v>
      </c>
      <c r="D93" s="4">
        <v>34872</v>
      </c>
      <c r="E93" s="4" t="s">
        <v>20</v>
      </c>
      <c r="F93" s="4" t="s">
        <v>35</v>
      </c>
      <c r="G93" s="4" t="s">
        <v>15</v>
      </c>
      <c r="H93" s="4">
        <v>1</v>
      </c>
      <c r="I93" s="4" t="s">
        <v>27</v>
      </c>
      <c r="J93" s="4" t="s">
        <v>28</v>
      </c>
      <c r="K93" s="4">
        <v>59</v>
      </c>
      <c r="L93" s="4" t="str">
        <f t="shared" si="1"/>
        <v>Old</v>
      </c>
      <c r="M93" s="4" t="s">
        <v>15</v>
      </c>
    </row>
    <row r="94" spans="1:13" x14ac:dyDescent="0.3">
      <c r="A94" s="4">
        <v>93</v>
      </c>
      <c r="B94" s="4" t="s">
        <v>41</v>
      </c>
      <c r="C94" s="4" t="s">
        <v>12</v>
      </c>
      <c r="D94" s="4">
        <v>57387</v>
      </c>
      <c r="E94" s="4" t="s">
        <v>20</v>
      </c>
      <c r="F94" s="4" t="s">
        <v>32</v>
      </c>
      <c r="G94" s="4" t="s">
        <v>22</v>
      </c>
      <c r="H94" s="4">
        <v>3</v>
      </c>
      <c r="I94" s="4" t="s">
        <v>37</v>
      </c>
      <c r="J94" s="4" t="s">
        <v>28</v>
      </c>
      <c r="K94" s="4">
        <v>54</v>
      </c>
      <c r="L94" s="4" t="str">
        <f t="shared" si="1"/>
        <v>Middle Age</v>
      </c>
      <c r="M94" s="4" t="s">
        <v>15</v>
      </c>
    </row>
    <row r="95" spans="1:13" x14ac:dyDescent="0.3">
      <c r="A95" s="4">
        <v>94</v>
      </c>
      <c r="B95" s="4" t="s">
        <v>40</v>
      </c>
      <c r="C95" s="4" t="s">
        <v>19</v>
      </c>
      <c r="D95" s="4">
        <v>78113</v>
      </c>
      <c r="E95" s="4" t="s">
        <v>31</v>
      </c>
      <c r="F95" s="4" t="s">
        <v>21</v>
      </c>
      <c r="G95" s="4" t="s">
        <v>15</v>
      </c>
      <c r="H95" s="4">
        <v>3</v>
      </c>
      <c r="I95" s="4" t="s">
        <v>23</v>
      </c>
      <c r="J95" s="4" t="s">
        <v>34</v>
      </c>
      <c r="K95" s="4">
        <v>48</v>
      </c>
      <c r="L95" s="4" t="str">
        <f t="shared" si="1"/>
        <v>Middle Age</v>
      </c>
      <c r="M95" s="4" t="s">
        <v>15</v>
      </c>
    </row>
    <row r="96" spans="1:13" x14ac:dyDescent="0.3">
      <c r="A96" s="4">
        <v>95</v>
      </c>
      <c r="B96" s="4" t="s">
        <v>41</v>
      </c>
      <c r="C96" s="4" t="s">
        <v>19</v>
      </c>
      <c r="D96" s="4">
        <v>114750</v>
      </c>
      <c r="E96" s="4" t="s">
        <v>31</v>
      </c>
      <c r="F96" s="4" t="s">
        <v>36</v>
      </c>
      <c r="G96" s="4" t="s">
        <v>15</v>
      </c>
      <c r="H96" s="4">
        <v>3</v>
      </c>
      <c r="I96" s="4" t="s">
        <v>27</v>
      </c>
      <c r="J96" s="4" t="s">
        <v>34</v>
      </c>
      <c r="K96" s="4">
        <v>53</v>
      </c>
      <c r="L96" s="4" t="str">
        <f t="shared" si="1"/>
        <v>Middle Age</v>
      </c>
      <c r="M96" s="4" t="s">
        <v>15</v>
      </c>
    </row>
    <row r="97" spans="1:13" x14ac:dyDescent="0.3">
      <c r="A97" s="4">
        <v>96</v>
      </c>
      <c r="B97" s="4" t="s">
        <v>41</v>
      </c>
      <c r="C97" s="4" t="s">
        <v>12</v>
      </c>
      <c r="D97" s="4">
        <v>26389</v>
      </c>
      <c r="E97" s="4" t="s">
        <v>26</v>
      </c>
      <c r="F97" s="4" t="s">
        <v>32</v>
      </c>
      <c r="G97" s="4" t="s">
        <v>22</v>
      </c>
      <c r="H97" s="4">
        <v>0</v>
      </c>
      <c r="I97" s="4" t="s">
        <v>33</v>
      </c>
      <c r="J97" s="4" t="s">
        <v>28</v>
      </c>
      <c r="K97" s="4">
        <v>41</v>
      </c>
      <c r="L97" s="4" t="str">
        <f t="shared" si="1"/>
        <v>Middle Age</v>
      </c>
      <c r="M97" s="4" t="s">
        <v>15</v>
      </c>
    </row>
    <row r="98" spans="1:13" x14ac:dyDescent="0.3">
      <c r="A98" s="4">
        <v>97</v>
      </c>
      <c r="B98" s="4" t="s">
        <v>40</v>
      </c>
      <c r="C98" s="4" t="s">
        <v>12</v>
      </c>
      <c r="D98" s="4">
        <v>27751</v>
      </c>
      <c r="E98" s="4" t="s">
        <v>20</v>
      </c>
      <c r="F98" s="4" t="s">
        <v>36</v>
      </c>
      <c r="G98" s="4" t="s">
        <v>15</v>
      </c>
      <c r="H98" s="4">
        <v>3</v>
      </c>
      <c r="I98" s="4" t="s">
        <v>23</v>
      </c>
      <c r="J98" s="4" t="s">
        <v>34</v>
      </c>
      <c r="K98" s="4">
        <v>37</v>
      </c>
      <c r="L98" s="4" t="str">
        <f t="shared" si="1"/>
        <v>Middle Age</v>
      </c>
      <c r="M98" s="4" t="s">
        <v>15</v>
      </c>
    </row>
    <row r="99" spans="1:13" x14ac:dyDescent="0.3">
      <c r="A99" s="4">
        <v>98</v>
      </c>
      <c r="B99" s="4" t="s">
        <v>41</v>
      </c>
      <c r="C99" s="4" t="s">
        <v>12</v>
      </c>
      <c r="D99" s="4">
        <v>39998</v>
      </c>
      <c r="E99" s="4" t="s">
        <v>20</v>
      </c>
      <c r="F99" s="4" t="s">
        <v>21</v>
      </c>
      <c r="G99" s="4" t="s">
        <v>15</v>
      </c>
      <c r="H99" s="4">
        <v>3</v>
      </c>
      <c r="I99" s="4" t="s">
        <v>16</v>
      </c>
      <c r="J99" s="4" t="s">
        <v>17</v>
      </c>
      <c r="K99" s="4">
        <v>31</v>
      </c>
      <c r="L99" s="4" t="str">
        <f t="shared" si="1"/>
        <v>Invalid</v>
      </c>
      <c r="M99" s="4" t="s">
        <v>15</v>
      </c>
    </row>
    <row r="100" spans="1:13" x14ac:dyDescent="0.3">
      <c r="A100" s="4">
        <v>99</v>
      </c>
      <c r="B100" s="4" t="s">
        <v>40</v>
      </c>
      <c r="C100" s="4" t="s">
        <v>19</v>
      </c>
      <c r="D100" s="4">
        <v>36394</v>
      </c>
      <c r="E100" s="4" t="s">
        <v>26</v>
      </c>
      <c r="F100" s="4" t="s">
        <v>36</v>
      </c>
      <c r="G100" s="4" t="s">
        <v>22</v>
      </c>
      <c r="H100" s="4">
        <v>2</v>
      </c>
      <c r="I100" s="4" t="s">
        <v>23</v>
      </c>
      <c r="J100" s="4" t="s">
        <v>17</v>
      </c>
      <c r="K100" s="4">
        <v>32</v>
      </c>
      <c r="L100" s="4" t="str">
        <f t="shared" si="1"/>
        <v>Middle Age</v>
      </c>
      <c r="M100" s="4" t="s">
        <v>15</v>
      </c>
    </row>
    <row r="101" spans="1:13" x14ac:dyDescent="0.3">
      <c r="A101" s="4">
        <v>100</v>
      </c>
      <c r="B101" s="4" t="s">
        <v>41</v>
      </c>
      <c r="C101" s="4" t="s">
        <v>19</v>
      </c>
      <c r="D101" s="4">
        <v>36143</v>
      </c>
      <c r="E101" s="4" t="s">
        <v>20</v>
      </c>
      <c r="F101" s="4" t="s">
        <v>32</v>
      </c>
      <c r="G101" s="4" t="s">
        <v>15</v>
      </c>
      <c r="H101" s="4">
        <v>1</v>
      </c>
      <c r="I101" s="4" t="s">
        <v>37</v>
      </c>
      <c r="J101" s="4" t="s">
        <v>17</v>
      </c>
      <c r="K101" s="4">
        <v>28</v>
      </c>
      <c r="L101" s="4" t="str">
        <f t="shared" si="1"/>
        <v>Adolescent</v>
      </c>
      <c r="M101" s="4" t="s">
        <v>15</v>
      </c>
    </row>
    <row r="102" spans="1:13" x14ac:dyDescent="0.3">
      <c r="A102" s="4">
        <v>101</v>
      </c>
      <c r="B102" s="4" t="s">
        <v>40</v>
      </c>
      <c r="C102" s="4" t="s">
        <v>12</v>
      </c>
      <c r="D102" s="4">
        <v>108662</v>
      </c>
      <c r="E102" s="4" t="s">
        <v>20</v>
      </c>
      <c r="F102" s="4" t="s">
        <v>21</v>
      </c>
      <c r="G102" s="4" t="s">
        <v>22</v>
      </c>
      <c r="H102" s="4">
        <v>0</v>
      </c>
      <c r="I102" s="4" t="s">
        <v>37</v>
      </c>
      <c r="J102" s="4" t="s">
        <v>24</v>
      </c>
      <c r="K102" s="4">
        <v>33</v>
      </c>
      <c r="L102" s="4" t="str">
        <f t="shared" si="1"/>
        <v>Middle Age</v>
      </c>
      <c r="M102" s="4" t="s">
        <v>15</v>
      </c>
    </row>
    <row r="103" spans="1:13" x14ac:dyDescent="0.3">
      <c r="A103" s="4">
        <v>102</v>
      </c>
      <c r="B103" s="4" t="s">
        <v>41</v>
      </c>
      <c r="C103" s="4" t="s">
        <v>19</v>
      </c>
      <c r="D103" s="4">
        <v>79619</v>
      </c>
      <c r="E103" s="4" t="s">
        <v>31</v>
      </c>
      <c r="F103" s="4" t="s">
        <v>35</v>
      </c>
      <c r="G103" s="4" t="s">
        <v>15</v>
      </c>
      <c r="H103" s="4">
        <v>1</v>
      </c>
      <c r="I103" s="4" t="s">
        <v>27</v>
      </c>
      <c r="J103" s="4" t="s">
        <v>34</v>
      </c>
      <c r="K103" s="4">
        <v>55</v>
      </c>
      <c r="L103" s="4" t="str">
        <f t="shared" si="1"/>
        <v>Old</v>
      </c>
      <c r="M103" s="4" t="s">
        <v>15</v>
      </c>
    </row>
    <row r="104" spans="1:13" x14ac:dyDescent="0.3">
      <c r="A104" s="4">
        <v>103</v>
      </c>
      <c r="B104" s="4" t="s">
        <v>40</v>
      </c>
      <c r="C104" s="4" t="s">
        <v>12</v>
      </c>
      <c r="D104" s="4">
        <v>115195</v>
      </c>
      <c r="E104" s="4" t="s">
        <v>31</v>
      </c>
      <c r="F104" s="4" t="s">
        <v>14</v>
      </c>
      <c r="G104" s="4" t="s">
        <v>15</v>
      </c>
      <c r="H104" s="4">
        <v>1</v>
      </c>
      <c r="I104" s="4" t="s">
        <v>37</v>
      </c>
      <c r="J104" s="4" t="s">
        <v>34</v>
      </c>
      <c r="K104" s="4">
        <v>43</v>
      </c>
      <c r="L104" s="4" t="str">
        <f t="shared" si="1"/>
        <v>Middle Age</v>
      </c>
      <c r="M104" s="4" t="s">
        <v>15</v>
      </c>
    </row>
    <row r="105" spans="1:13" x14ac:dyDescent="0.3">
      <c r="A105" s="4">
        <v>104</v>
      </c>
      <c r="B105" s="4" t="s">
        <v>41</v>
      </c>
      <c r="C105" s="4" t="s">
        <v>19</v>
      </c>
      <c r="D105" s="4">
        <v>95622</v>
      </c>
      <c r="E105" s="4" t="s">
        <v>20</v>
      </c>
      <c r="F105" s="4" t="s">
        <v>36</v>
      </c>
      <c r="G105" s="4" t="s">
        <v>22</v>
      </c>
      <c r="H105" s="4">
        <v>1</v>
      </c>
      <c r="I105" s="4" t="s">
        <v>23</v>
      </c>
      <c r="J105" s="4" t="s">
        <v>24</v>
      </c>
      <c r="K105" s="4">
        <v>18</v>
      </c>
      <c r="L105" s="4" t="str">
        <f t="shared" si="1"/>
        <v>Adolescent</v>
      </c>
      <c r="M105" s="4" t="s">
        <v>15</v>
      </c>
    </row>
    <row r="106" spans="1:13" x14ac:dyDescent="0.3">
      <c r="A106" s="4">
        <v>105</v>
      </c>
      <c r="B106" s="4" t="s">
        <v>40</v>
      </c>
      <c r="C106" s="4" t="s">
        <v>12</v>
      </c>
      <c r="D106" s="4">
        <v>91720</v>
      </c>
      <c r="E106" s="4" t="s">
        <v>31</v>
      </c>
      <c r="F106" s="4" t="s">
        <v>35</v>
      </c>
      <c r="G106" s="4" t="s">
        <v>22</v>
      </c>
      <c r="H106" s="4">
        <v>1</v>
      </c>
      <c r="I106" s="4" t="s">
        <v>16</v>
      </c>
      <c r="J106" s="4" t="s">
        <v>34</v>
      </c>
      <c r="K106" s="4">
        <v>39</v>
      </c>
      <c r="L106" s="4" t="str">
        <f t="shared" si="1"/>
        <v>Middle Age</v>
      </c>
      <c r="M106" s="4" t="s">
        <v>22</v>
      </c>
    </row>
    <row r="107" spans="1:13" x14ac:dyDescent="0.3">
      <c r="A107" s="4">
        <v>106</v>
      </c>
      <c r="B107" s="4" t="s">
        <v>40</v>
      </c>
      <c r="C107" s="4" t="s">
        <v>12</v>
      </c>
      <c r="D107" s="4">
        <v>105552</v>
      </c>
      <c r="E107" s="4" t="s">
        <v>20</v>
      </c>
      <c r="F107" s="4" t="s">
        <v>14</v>
      </c>
      <c r="G107" s="4" t="s">
        <v>22</v>
      </c>
      <c r="H107" s="4">
        <v>3</v>
      </c>
      <c r="I107" s="4" t="s">
        <v>27</v>
      </c>
      <c r="J107" s="4" t="s">
        <v>28</v>
      </c>
      <c r="K107" s="4">
        <v>36</v>
      </c>
      <c r="L107" s="4" t="str">
        <f t="shared" si="1"/>
        <v>Middle Age</v>
      </c>
      <c r="M107" s="4" t="s">
        <v>15</v>
      </c>
    </row>
    <row r="108" spans="1:13" x14ac:dyDescent="0.3">
      <c r="A108" s="4">
        <v>107</v>
      </c>
      <c r="B108" s="4" t="s">
        <v>41</v>
      </c>
      <c r="C108" s="4" t="s">
        <v>12</v>
      </c>
      <c r="D108" s="4">
        <v>62744</v>
      </c>
      <c r="E108" s="4" t="s">
        <v>31</v>
      </c>
      <c r="F108" s="4" t="s">
        <v>32</v>
      </c>
      <c r="G108" s="4" t="s">
        <v>22</v>
      </c>
      <c r="H108" s="4">
        <v>2</v>
      </c>
      <c r="I108" s="4" t="s">
        <v>27</v>
      </c>
      <c r="J108" s="4" t="s">
        <v>28</v>
      </c>
      <c r="K108" s="4">
        <v>30</v>
      </c>
      <c r="L108" s="4" t="str">
        <f t="shared" si="1"/>
        <v>Adolescent</v>
      </c>
      <c r="M108" s="4" t="s">
        <v>22</v>
      </c>
    </row>
    <row r="109" spans="1:13" x14ac:dyDescent="0.3">
      <c r="A109" s="4">
        <v>108</v>
      </c>
      <c r="B109" s="4" t="s">
        <v>40</v>
      </c>
      <c r="C109" s="4" t="s">
        <v>12</v>
      </c>
      <c r="D109" s="4">
        <v>109198</v>
      </c>
      <c r="E109" s="4" t="s">
        <v>13</v>
      </c>
      <c r="F109" s="4" t="s">
        <v>36</v>
      </c>
      <c r="G109" s="4" t="s">
        <v>22</v>
      </c>
      <c r="H109" s="4">
        <v>0</v>
      </c>
      <c r="I109" s="4" t="s">
        <v>16</v>
      </c>
      <c r="J109" s="4" t="s">
        <v>28</v>
      </c>
      <c r="K109" s="4">
        <v>48</v>
      </c>
      <c r="L109" s="4" t="str">
        <f t="shared" si="1"/>
        <v>Middle Age</v>
      </c>
      <c r="M109" s="4" t="s">
        <v>15</v>
      </c>
    </row>
    <row r="110" spans="1:13" x14ac:dyDescent="0.3">
      <c r="A110" s="4">
        <v>109</v>
      </c>
      <c r="B110" s="4" t="s">
        <v>40</v>
      </c>
      <c r="C110" s="4" t="s">
        <v>12</v>
      </c>
      <c r="D110" s="4">
        <v>22110</v>
      </c>
      <c r="E110" s="4" t="s">
        <v>31</v>
      </c>
      <c r="F110" s="4" t="s">
        <v>36</v>
      </c>
      <c r="G110" s="4" t="s">
        <v>15</v>
      </c>
      <c r="H110" s="4">
        <v>3</v>
      </c>
      <c r="I110" s="4" t="s">
        <v>16</v>
      </c>
      <c r="J110" s="4" t="s">
        <v>17</v>
      </c>
      <c r="K110" s="4">
        <v>31</v>
      </c>
      <c r="L110" s="4" t="str">
        <f t="shared" si="1"/>
        <v>Invalid</v>
      </c>
      <c r="M110" s="4" t="s">
        <v>15</v>
      </c>
    </row>
    <row r="111" spans="1:13" x14ac:dyDescent="0.3">
      <c r="A111" s="4">
        <v>110</v>
      </c>
      <c r="B111" s="4" t="s">
        <v>40</v>
      </c>
      <c r="C111" s="4" t="s">
        <v>19</v>
      </c>
      <c r="D111" s="4">
        <v>57280</v>
      </c>
      <c r="E111" s="4" t="s">
        <v>13</v>
      </c>
      <c r="F111" s="4" t="s">
        <v>14</v>
      </c>
      <c r="G111" s="4" t="s">
        <v>15</v>
      </c>
      <c r="H111" s="4">
        <v>0</v>
      </c>
      <c r="I111" s="4" t="s">
        <v>37</v>
      </c>
      <c r="J111" s="4" t="s">
        <v>28</v>
      </c>
      <c r="K111" s="4">
        <v>25</v>
      </c>
      <c r="L111" s="4" t="str">
        <f t="shared" si="1"/>
        <v>Adolescent</v>
      </c>
      <c r="M111" s="4" t="s">
        <v>22</v>
      </c>
    </row>
    <row r="112" spans="1:13" x14ac:dyDescent="0.3">
      <c r="A112" s="4">
        <v>111</v>
      </c>
      <c r="B112" s="4" t="s">
        <v>40</v>
      </c>
      <c r="C112" s="4" t="s">
        <v>12</v>
      </c>
      <c r="D112" s="4">
        <v>33551</v>
      </c>
      <c r="E112" s="4" t="s">
        <v>26</v>
      </c>
      <c r="F112" s="4" t="s">
        <v>21</v>
      </c>
      <c r="G112" s="4" t="s">
        <v>22</v>
      </c>
      <c r="H112" s="4">
        <v>0</v>
      </c>
      <c r="I112" s="4" t="s">
        <v>33</v>
      </c>
      <c r="J112" s="4" t="s">
        <v>24</v>
      </c>
      <c r="K112" s="4">
        <v>38</v>
      </c>
      <c r="L112" s="4" t="str">
        <f t="shared" si="1"/>
        <v>Middle Age</v>
      </c>
      <c r="M112" s="4" t="s">
        <v>15</v>
      </c>
    </row>
    <row r="113" spans="1:13" x14ac:dyDescent="0.3">
      <c r="A113" s="4">
        <v>112</v>
      </c>
      <c r="B113" s="4" t="s">
        <v>40</v>
      </c>
      <c r="C113" s="4" t="s">
        <v>12</v>
      </c>
      <c r="D113" s="4">
        <v>94503</v>
      </c>
      <c r="E113" s="4" t="s">
        <v>31</v>
      </c>
      <c r="F113" s="4" t="s">
        <v>35</v>
      </c>
      <c r="G113" s="4" t="s">
        <v>22</v>
      </c>
      <c r="H113" s="4">
        <v>3</v>
      </c>
      <c r="I113" s="4" t="s">
        <v>27</v>
      </c>
      <c r="J113" s="4" t="s">
        <v>28</v>
      </c>
      <c r="K113" s="4">
        <v>39</v>
      </c>
      <c r="L113" s="4" t="str">
        <f t="shared" si="1"/>
        <v>Middle Age</v>
      </c>
      <c r="M113" s="4" t="s">
        <v>15</v>
      </c>
    </row>
    <row r="114" spans="1:13" x14ac:dyDescent="0.3">
      <c r="A114" s="4">
        <v>113</v>
      </c>
      <c r="B114" s="4" t="s">
        <v>40</v>
      </c>
      <c r="C114" s="4" t="s">
        <v>12</v>
      </c>
      <c r="D114" s="4">
        <v>58920</v>
      </c>
      <c r="E114" s="4" t="s">
        <v>20</v>
      </c>
      <c r="F114" s="4" t="s">
        <v>32</v>
      </c>
      <c r="G114" s="4" t="s">
        <v>22</v>
      </c>
      <c r="H114" s="4">
        <v>3</v>
      </c>
      <c r="I114" s="4" t="s">
        <v>27</v>
      </c>
      <c r="J114" s="4" t="s">
        <v>17</v>
      </c>
      <c r="K114" s="4">
        <v>38</v>
      </c>
      <c r="L114" s="4" t="str">
        <f t="shared" si="1"/>
        <v>Middle Age</v>
      </c>
      <c r="M114" s="4" t="s">
        <v>15</v>
      </c>
    </row>
    <row r="115" spans="1:13" x14ac:dyDescent="0.3">
      <c r="A115" s="4">
        <v>114</v>
      </c>
      <c r="B115" s="4" t="s">
        <v>41</v>
      </c>
      <c r="C115" s="4" t="s">
        <v>12</v>
      </c>
      <c r="D115" s="4">
        <v>72679</v>
      </c>
      <c r="E115" s="4" t="s">
        <v>13</v>
      </c>
      <c r="F115" s="4" t="s">
        <v>21</v>
      </c>
      <c r="G115" s="4" t="s">
        <v>15</v>
      </c>
      <c r="H115" s="4">
        <v>2</v>
      </c>
      <c r="I115" s="4" t="s">
        <v>33</v>
      </c>
      <c r="J115" s="4" t="s">
        <v>24</v>
      </c>
      <c r="K115" s="4">
        <v>46</v>
      </c>
      <c r="L115" s="4" t="str">
        <f t="shared" si="1"/>
        <v>Middle Age</v>
      </c>
      <c r="M115" s="4" t="s">
        <v>15</v>
      </c>
    </row>
    <row r="116" spans="1:13" x14ac:dyDescent="0.3">
      <c r="A116" s="4">
        <v>115</v>
      </c>
      <c r="B116" s="4" t="s">
        <v>41</v>
      </c>
      <c r="C116" s="4" t="s">
        <v>12</v>
      </c>
      <c r="D116" s="4">
        <v>33598</v>
      </c>
      <c r="E116" s="4" t="s">
        <v>20</v>
      </c>
      <c r="F116" s="4" t="s">
        <v>36</v>
      </c>
      <c r="G116" s="4" t="s">
        <v>15</v>
      </c>
      <c r="H116" s="4">
        <v>1</v>
      </c>
      <c r="I116" s="4" t="s">
        <v>16</v>
      </c>
      <c r="J116" s="4" t="s">
        <v>34</v>
      </c>
      <c r="K116" s="4">
        <v>48</v>
      </c>
      <c r="L116" s="4" t="str">
        <f t="shared" si="1"/>
        <v>Middle Age</v>
      </c>
      <c r="M116" s="4" t="s">
        <v>15</v>
      </c>
    </row>
    <row r="117" spans="1:13" x14ac:dyDescent="0.3">
      <c r="A117" s="4">
        <v>116</v>
      </c>
      <c r="B117" s="4" t="s">
        <v>41</v>
      </c>
      <c r="C117" s="4" t="s">
        <v>19</v>
      </c>
      <c r="D117" s="4">
        <v>77332</v>
      </c>
      <c r="E117" s="4" t="s">
        <v>31</v>
      </c>
      <c r="F117" s="4" t="s">
        <v>35</v>
      </c>
      <c r="G117" s="4" t="s">
        <v>15</v>
      </c>
      <c r="H117" s="4">
        <v>2</v>
      </c>
      <c r="I117" s="4" t="s">
        <v>33</v>
      </c>
      <c r="J117" s="4" t="s">
        <v>34</v>
      </c>
      <c r="K117" s="4">
        <v>56</v>
      </c>
      <c r="L117" s="4" t="str">
        <f t="shared" si="1"/>
        <v>Old</v>
      </c>
      <c r="M117" s="4" t="s">
        <v>15</v>
      </c>
    </row>
    <row r="118" spans="1:13" x14ac:dyDescent="0.3">
      <c r="A118" s="4">
        <v>117</v>
      </c>
      <c r="B118" s="4" t="s">
        <v>41</v>
      </c>
      <c r="C118" s="4" t="s">
        <v>19</v>
      </c>
      <c r="D118" s="4">
        <v>99437</v>
      </c>
      <c r="E118" s="4" t="s">
        <v>31</v>
      </c>
      <c r="F118" s="4" t="s">
        <v>14</v>
      </c>
      <c r="G118" s="4" t="s">
        <v>22</v>
      </c>
      <c r="H118" s="4">
        <v>2</v>
      </c>
      <c r="I118" s="4" t="s">
        <v>23</v>
      </c>
      <c r="J118" s="4" t="s">
        <v>24</v>
      </c>
      <c r="K118" s="4">
        <v>28</v>
      </c>
      <c r="L118" s="4" t="str">
        <f t="shared" si="1"/>
        <v>Adolescent</v>
      </c>
      <c r="M118" s="4" t="s">
        <v>15</v>
      </c>
    </row>
    <row r="119" spans="1:13" x14ac:dyDescent="0.3">
      <c r="A119" s="4">
        <v>118</v>
      </c>
      <c r="B119" s="4" t="s">
        <v>41</v>
      </c>
      <c r="C119" s="4" t="s">
        <v>12</v>
      </c>
      <c r="D119" s="4">
        <v>61295</v>
      </c>
      <c r="E119" s="4" t="s">
        <v>13</v>
      </c>
      <c r="F119" s="4" t="s">
        <v>35</v>
      </c>
      <c r="G119" s="4" t="s">
        <v>22</v>
      </c>
      <c r="H119" s="4">
        <v>3</v>
      </c>
      <c r="I119" s="4" t="s">
        <v>37</v>
      </c>
      <c r="J119" s="4" t="s">
        <v>24</v>
      </c>
      <c r="K119" s="4">
        <v>22</v>
      </c>
      <c r="L119" s="4" t="str">
        <f t="shared" si="1"/>
        <v>Adolescent</v>
      </c>
      <c r="M119" s="4" t="s">
        <v>15</v>
      </c>
    </row>
    <row r="120" spans="1:13" x14ac:dyDescent="0.3">
      <c r="A120" s="4">
        <v>119</v>
      </c>
      <c r="B120" s="4" t="s">
        <v>41</v>
      </c>
      <c r="C120" s="4" t="s">
        <v>19</v>
      </c>
      <c r="D120" s="4">
        <v>71188</v>
      </c>
      <c r="E120" s="4" t="s">
        <v>26</v>
      </c>
      <c r="F120" s="4" t="s">
        <v>32</v>
      </c>
      <c r="G120" s="4" t="s">
        <v>22</v>
      </c>
      <c r="H120" s="4">
        <v>0</v>
      </c>
      <c r="I120" s="4" t="s">
        <v>27</v>
      </c>
      <c r="J120" s="4" t="s">
        <v>28</v>
      </c>
      <c r="K120" s="4">
        <v>51</v>
      </c>
      <c r="L120" s="4" t="str">
        <f t="shared" si="1"/>
        <v>Middle Age</v>
      </c>
      <c r="M120" s="4" t="s">
        <v>15</v>
      </c>
    </row>
    <row r="121" spans="1:13" x14ac:dyDescent="0.3">
      <c r="A121" s="4">
        <v>120</v>
      </c>
      <c r="B121" s="4" t="s">
        <v>41</v>
      </c>
      <c r="C121" s="4" t="s">
        <v>12</v>
      </c>
      <c r="D121" s="4">
        <v>33890</v>
      </c>
      <c r="E121" s="4" t="s">
        <v>13</v>
      </c>
      <c r="F121" s="4" t="s">
        <v>35</v>
      </c>
      <c r="G121" s="4" t="s">
        <v>22</v>
      </c>
      <c r="H121" s="4">
        <v>2</v>
      </c>
      <c r="I121" s="4" t="s">
        <v>33</v>
      </c>
      <c r="J121" s="4" t="s">
        <v>24</v>
      </c>
      <c r="K121" s="4">
        <v>48</v>
      </c>
      <c r="L121" s="4" t="str">
        <f t="shared" si="1"/>
        <v>Middle Age</v>
      </c>
      <c r="M121" s="4" t="s">
        <v>15</v>
      </c>
    </row>
    <row r="122" spans="1:13" x14ac:dyDescent="0.3">
      <c r="A122" s="4">
        <v>121</v>
      </c>
      <c r="B122" s="4" t="s">
        <v>41</v>
      </c>
      <c r="C122" s="4" t="s">
        <v>12</v>
      </c>
      <c r="D122" s="4">
        <v>51029</v>
      </c>
      <c r="E122" s="4" t="s">
        <v>20</v>
      </c>
      <c r="F122" s="4" t="s">
        <v>35</v>
      </c>
      <c r="G122" s="4" t="s">
        <v>15</v>
      </c>
      <c r="H122" s="4">
        <v>1</v>
      </c>
      <c r="I122" s="4" t="s">
        <v>37</v>
      </c>
      <c r="J122" s="4" t="s">
        <v>24</v>
      </c>
      <c r="K122" s="4">
        <v>47</v>
      </c>
      <c r="L122" s="4" t="str">
        <f t="shared" si="1"/>
        <v>Middle Age</v>
      </c>
      <c r="M122" s="4" t="s">
        <v>15</v>
      </c>
    </row>
    <row r="123" spans="1:13" x14ac:dyDescent="0.3">
      <c r="A123" s="4">
        <v>122</v>
      </c>
      <c r="B123" s="4" t="s">
        <v>40</v>
      </c>
      <c r="C123" s="4" t="s">
        <v>12</v>
      </c>
      <c r="D123" s="4">
        <v>85819</v>
      </c>
      <c r="E123" s="4" t="s">
        <v>20</v>
      </c>
      <c r="F123" s="4" t="s">
        <v>35</v>
      </c>
      <c r="G123" s="4" t="s">
        <v>15</v>
      </c>
      <c r="H123" s="4">
        <v>3</v>
      </c>
      <c r="I123" s="4" t="s">
        <v>27</v>
      </c>
      <c r="J123" s="4" t="s">
        <v>34</v>
      </c>
      <c r="K123" s="4">
        <v>23</v>
      </c>
      <c r="L123" s="4" t="str">
        <f t="shared" si="1"/>
        <v>Adolescent</v>
      </c>
      <c r="M123" s="4" t="s">
        <v>15</v>
      </c>
    </row>
    <row r="124" spans="1:13" x14ac:dyDescent="0.3">
      <c r="A124" s="4">
        <v>123</v>
      </c>
      <c r="B124" s="4" t="s">
        <v>40</v>
      </c>
      <c r="C124" s="4" t="s">
        <v>19</v>
      </c>
      <c r="D124" s="4">
        <v>45383</v>
      </c>
      <c r="E124" s="4" t="s">
        <v>31</v>
      </c>
      <c r="F124" s="4" t="s">
        <v>14</v>
      </c>
      <c r="G124" s="4" t="s">
        <v>22</v>
      </c>
      <c r="H124" s="4">
        <v>3</v>
      </c>
      <c r="I124" s="4" t="s">
        <v>27</v>
      </c>
      <c r="J124" s="4" t="s">
        <v>28</v>
      </c>
      <c r="K124" s="4">
        <v>19</v>
      </c>
      <c r="L124" s="4" t="str">
        <f t="shared" si="1"/>
        <v>Adolescent</v>
      </c>
      <c r="M124" s="4" t="s">
        <v>15</v>
      </c>
    </row>
    <row r="125" spans="1:13" x14ac:dyDescent="0.3">
      <c r="A125" s="4">
        <v>124</v>
      </c>
      <c r="B125" s="4" t="s">
        <v>40</v>
      </c>
      <c r="C125" s="4" t="s">
        <v>12</v>
      </c>
      <c r="D125" s="4">
        <v>117336</v>
      </c>
      <c r="E125" s="4" t="s">
        <v>20</v>
      </c>
      <c r="F125" s="4" t="s">
        <v>32</v>
      </c>
      <c r="G125" s="4" t="s">
        <v>15</v>
      </c>
      <c r="H125" s="4">
        <v>3</v>
      </c>
      <c r="I125" s="4" t="s">
        <v>16</v>
      </c>
      <c r="J125" s="4" t="s">
        <v>24</v>
      </c>
      <c r="K125" s="4">
        <v>42</v>
      </c>
      <c r="L125" s="4" t="str">
        <f t="shared" si="1"/>
        <v>Middle Age</v>
      </c>
      <c r="M125" s="4" t="s">
        <v>15</v>
      </c>
    </row>
    <row r="126" spans="1:13" x14ac:dyDescent="0.3">
      <c r="A126" s="4">
        <v>125</v>
      </c>
      <c r="B126" s="4" t="s">
        <v>40</v>
      </c>
      <c r="C126" s="4" t="s">
        <v>12</v>
      </c>
      <c r="D126" s="4">
        <v>33770</v>
      </c>
      <c r="E126" s="4" t="s">
        <v>13</v>
      </c>
      <c r="F126" s="4" t="s">
        <v>32</v>
      </c>
      <c r="G126" s="4" t="s">
        <v>22</v>
      </c>
      <c r="H126" s="4">
        <v>2</v>
      </c>
      <c r="I126" s="4" t="s">
        <v>27</v>
      </c>
      <c r="J126" s="4" t="s">
        <v>28</v>
      </c>
      <c r="K126" s="4">
        <v>40</v>
      </c>
      <c r="L126" s="4" t="str">
        <f t="shared" si="1"/>
        <v>Middle Age</v>
      </c>
      <c r="M126" s="4" t="s">
        <v>15</v>
      </c>
    </row>
    <row r="127" spans="1:13" x14ac:dyDescent="0.3">
      <c r="A127" s="4">
        <v>126</v>
      </c>
      <c r="B127" s="4" t="s">
        <v>40</v>
      </c>
      <c r="C127" s="4" t="s">
        <v>19</v>
      </c>
      <c r="D127" s="4">
        <v>113000</v>
      </c>
      <c r="E127" s="4" t="s">
        <v>26</v>
      </c>
      <c r="F127" s="4" t="s">
        <v>32</v>
      </c>
      <c r="G127" s="4" t="s">
        <v>22</v>
      </c>
      <c r="H127" s="4">
        <v>1</v>
      </c>
      <c r="I127" s="4" t="s">
        <v>23</v>
      </c>
      <c r="J127" s="4" t="s">
        <v>28</v>
      </c>
      <c r="K127" s="4">
        <v>22</v>
      </c>
      <c r="L127" s="4" t="str">
        <f t="shared" si="1"/>
        <v>Adolescent</v>
      </c>
      <c r="M127" s="4" t="s">
        <v>22</v>
      </c>
    </row>
    <row r="128" spans="1:13" x14ac:dyDescent="0.3">
      <c r="A128" s="4">
        <v>127</v>
      </c>
      <c r="B128" s="4" t="s">
        <v>40</v>
      </c>
      <c r="C128" s="4" t="s">
        <v>12</v>
      </c>
      <c r="D128" s="4">
        <v>85012</v>
      </c>
      <c r="E128" s="4" t="s">
        <v>31</v>
      </c>
      <c r="F128" s="4" t="s">
        <v>32</v>
      </c>
      <c r="G128" s="4" t="s">
        <v>22</v>
      </c>
      <c r="H128" s="4">
        <v>1</v>
      </c>
      <c r="I128" s="4" t="s">
        <v>23</v>
      </c>
      <c r="J128" s="4" t="s">
        <v>28</v>
      </c>
      <c r="K128" s="4">
        <v>54</v>
      </c>
      <c r="L128" s="4" t="str">
        <f t="shared" si="1"/>
        <v>Middle Age</v>
      </c>
      <c r="M128" s="4" t="s">
        <v>15</v>
      </c>
    </row>
    <row r="129" spans="1:13" x14ac:dyDescent="0.3">
      <c r="A129" s="4">
        <v>128</v>
      </c>
      <c r="B129" s="4" t="s">
        <v>40</v>
      </c>
      <c r="C129" s="4" t="s">
        <v>19</v>
      </c>
      <c r="D129" s="4">
        <v>70409</v>
      </c>
      <c r="E129" s="4" t="s">
        <v>31</v>
      </c>
      <c r="F129" s="4" t="s">
        <v>21</v>
      </c>
      <c r="G129" s="4" t="s">
        <v>22</v>
      </c>
      <c r="H129" s="4">
        <v>0</v>
      </c>
      <c r="I129" s="4" t="s">
        <v>37</v>
      </c>
      <c r="J129" s="4" t="s">
        <v>28</v>
      </c>
      <c r="K129" s="4">
        <v>42</v>
      </c>
      <c r="L129" s="4" t="str">
        <f t="shared" si="1"/>
        <v>Middle Age</v>
      </c>
      <c r="M129" s="4" t="s">
        <v>15</v>
      </c>
    </row>
    <row r="130" spans="1:13" x14ac:dyDescent="0.3">
      <c r="A130" s="4">
        <v>129</v>
      </c>
      <c r="B130" s="4" t="s">
        <v>40</v>
      </c>
      <c r="C130" s="4" t="s">
        <v>12</v>
      </c>
      <c r="D130" s="4">
        <v>86446</v>
      </c>
      <c r="E130" s="4" t="s">
        <v>13</v>
      </c>
      <c r="F130" s="4" t="s">
        <v>35</v>
      </c>
      <c r="G130" s="4" t="s">
        <v>15</v>
      </c>
      <c r="H130" s="4">
        <v>0</v>
      </c>
      <c r="I130" s="4" t="s">
        <v>37</v>
      </c>
      <c r="J130" s="4" t="s">
        <v>34</v>
      </c>
      <c r="K130" s="4">
        <v>22</v>
      </c>
      <c r="L130" s="4" t="str">
        <f t="shared" ref="L130:L193" si="2">IF(K130&gt;54,"Old",IF(K130&gt;31,"Middle Age",IF(K130&lt;31,"Adolescent","Invalid")))</f>
        <v>Adolescent</v>
      </c>
      <c r="M130" s="4" t="s">
        <v>22</v>
      </c>
    </row>
    <row r="131" spans="1:13" x14ac:dyDescent="0.3">
      <c r="A131" s="4">
        <v>130</v>
      </c>
      <c r="B131" s="4" t="s">
        <v>40</v>
      </c>
      <c r="C131" s="4" t="s">
        <v>12</v>
      </c>
      <c r="D131" s="4">
        <v>42620</v>
      </c>
      <c r="E131" s="4" t="s">
        <v>13</v>
      </c>
      <c r="F131" s="4" t="s">
        <v>36</v>
      </c>
      <c r="G131" s="4" t="s">
        <v>22</v>
      </c>
      <c r="H131" s="4">
        <v>1</v>
      </c>
      <c r="I131" s="4" t="s">
        <v>23</v>
      </c>
      <c r="J131" s="4" t="s">
        <v>24</v>
      </c>
      <c r="K131" s="4">
        <v>53</v>
      </c>
      <c r="L131" s="4" t="str">
        <f t="shared" si="2"/>
        <v>Middle Age</v>
      </c>
      <c r="M131" s="4" t="s">
        <v>15</v>
      </c>
    </row>
    <row r="132" spans="1:13" x14ac:dyDescent="0.3">
      <c r="A132" s="4">
        <v>131</v>
      </c>
      <c r="B132" s="4" t="s">
        <v>41</v>
      </c>
      <c r="C132" s="4" t="s">
        <v>12</v>
      </c>
      <c r="D132" s="4">
        <v>32846</v>
      </c>
      <c r="E132" s="4" t="s">
        <v>31</v>
      </c>
      <c r="F132" s="4" t="s">
        <v>35</v>
      </c>
      <c r="G132" s="4" t="s">
        <v>15</v>
      </c>
      <c r="H132" s="4">
        <v>0</v>
      </c>
      <c r="I132" s="4" t="s">
        <v>37</v>
      </c>
      <c r="J132" s="4" t="s">
        <v>28</v>
      </c>
      <c r="K132" s="4">
        <v>58</v>
      </c>
      <c r="L132" s="4" t="str">
        <f t="shared" si="2"/>
        <v>Old</v>
      </c>
      <c r="M132" s="4" t="s">
        <v>15</v>
      </c>
    </row>
    <row r="133" spans="1:13" x14ac:dyDescent="0.3">
      <c r="A133" s="4">
        <v>132</v>
      </c>
      <c r="B133" s="4" t="s">
        <v>41</v>
      </c>
      <c r="C133" s="4" t="s">
        <v>12</v>
      </c>
      <c r="D133" s="4">
        <v>23559</v>
      </c>
      <c r="E133" s="4" t="s">
        <v>26</v>
      </c>
      <c r="F133" s="4" t="s">
        <v>35</v>
      </c>
      <c r="G133" s="4" t="s">
        <v>15</v>
      </c>
      <c r="H133" s="4">
        <v>3</v>
      </c>
      <c r="I133" s="4" t="s">
        <v>23</v>
      </c>
      <c r="J133" s="4" t="s">
        <v>24</v>
      </c>
      <c r="K133" s="4">
        <v>59</v>
      </c>
      <c r="L133" s="4" t="str">
        <f t="shared" si="2"/>
        <v>Old</v>
      </c>
      <c r="M133" s="4" t="s">
        <v>15</v>
      </c>
    </row>
    <row r="134" spans="1:13" x14ac:dyDescent="0.3">
      <c r="A134" s="4">
        <v>133</v>
      </c>
      <c r="B134" s="4" t="s">
        <v>40</v>
      </c>
      <c r="C134" s="4" t="s">
        <v>12</v>
      </c>
      <c r="D134" s="4">
        <v>49182</v>
      </c>
      <c r="E134" s="4" t="s">
        <v>26</v>
      </c>
      <c r="F134" s="4" t="s">
        <v>32</v>
      </c>
      <c r="G134" s="4" t="s">
        <v>22</v>
      </c>
      <c r="H134" s="4">
        <v>2</v>
      </c>
      <c r="I134" s="4" t="s">
        <v>33</v>
      </c>
      <c r="J134" s="4" t="s">
        <v>34</v>
      </c>
      <c r="K134" s="4">
        <v>51</v>
      </c>
      <c r="L134" s="4" t="str">
        <f t="shared" si="2"/>
        <v>Middle Age</v>
      </c>
      <c r="M134" s="4" t="s">
        <v>15</v>
      </c>
    </row>
    <row r="135" spans="1:13" x14ac:dyDescent="0.3">
      <c r="A135" s="4">
        <v>134</v>
      </c>
      <c r="B135" s="4" t="s">
        <v>40</v>
      </c>
      <c r="C135" s="4" t="s">
        <v>12</v>
      </c>
      <c r="D135" s="4">
        <v>32926</v>
      </c>
      <c r="E135" s="4" t="s">
        <v>26</v>
      </c>
      <c r="F135" s="4" t="s">
        <v>36</v>
      </c>
      <c r="G135" s="4" t="s">
        <v>15</v>
      </c>
      <c r="H135" s="4">
        <v>0</v>
      </c>
      <c r="I135" s="4" t="s">
        <v>16</v>
      </c>
      <c r="J135" s="4" t="s">
        <v>28</v>
      </c>
      <c r="K135" s="4">
        <v>42</v>
      </c>
      <c r="L135" s="4" t="str">
        <f t="shared" si="2"/>
        <v>Middle Age</v>
      </c>
      <c r="M135" s="4" t="s">
        <v>15</v>
      </c>
    </row>
    <row r="136" spans="1:13" x14ac:dyDescent="0.3">
      <c r="A136" s="4">
        <v>135</v>
      </c>
      <c r="B136" s="4" t="s">
        <v>41</v>
      </c>
      <c r="C136" s="4" t="s">
        <v>19</v>
      </c>
      <c r="D136" s="4">
        <v>115468</v>
      </c>
      <c r="E136" s="4" t="s">
        <v>20</v>
      </c>
      <c r="F136" s="4" t="s">
        <v>32</v>
      </c>
      <c r="G136" s="4" t="s">
        <v>22</v>
      </c>
      <c r="H136" s="4">
        <v>3</v>
      </c>
      <c r="I136" s="4" t="s">
        <v>27</v>
      </c>
      <c r="J136" s="4" t="s">
        <v>17</v>
      </c>
      <c r="K136" s="4">
        <v>40</v>
      </c>
      <c r="L136" s="4" t="str">
        <f t="shared" si="2"/>
        <v>Middle Age</v>
      </c>
      <c r="M136" s="4" t="s">
        <v>15</v>
      </c>
    </row>
    <row r="137" spans="1:13" x14ac:dyDescent="0.3">
      <c r="A137" s="4">
        <v>136</v>
      </c>
      <c r="B137" s="4" t="s">
        <v>40</v>
      </c>
      <c r="C137" s="4" t="s">
        <v>19</v>
      </c>
      <c r="D137" s="4">
        <v>38617</v>
      </c>
      <c r="E137" s="4" t="s">
        <v>26</v>
      </c>
      <c r="F137" s="4" t="s">
        <v>32</v>
      </c>
      <c r="G137" s="4" t="s">
        <v>15</v>
      </c>
      <c r="H137" s="4">
        <v>3</v>
      </c>
      <c r="I137" s="4" t="s">
        <v>27</v>
      </c>
      <c r="J137" s="4" t="s">
        <v>24</v>
      </c>
      <c r="K137" s="4">
        <v>43</v>
      </c>
      <c r="L137" s="4" t="str">
        <f t="shared" si="2"/>
        <v>Middle Age</v>
      </c>
      <c r="M137" s="4" t="s">
        <v>15</v>
      </c>
    </row>
    <row r="138" spans="1:13" x14ac:dyDescent="0.3">
      <c r="A138" s="4">
        <v>137</v>
      </c>
      <c r="B138" s="4" t="s">
        <v>40</v>
      </c>
      <c r="C138" s="4" t="s">
        <v>12</v>
      </c>
      <c r="D138" s="4">
        <v>82838</v>
      </c>
      <c r="E138" s="4" t="s">
        <v>26</v>
      </c>
      <c r="F138" s="4" t="s">
        <v>36</v>
      </c>
      <c r="G138" s="4" t="s">
        <v>15</v>
      </c>
      <c r="H138" s="4">
        <v>1</v>
      </c>
      <c r="I138" s="4" t="s">
        <v>27</v>
      </c>
      <c r="J138" s="4" t="s">
        <v>28</v>
      </c>
      <c r="K138" s="4">
        <v>51</v>
      </c>
      <c r="L138" s="4" t="str">
        <f t="shared" si="2"/>
        <v>Middle Age</v>
      </c>
      <c r="M138" s="4" t="s">
        <v>15</v>
      </c>
    </row>
    <row r="139" spans="1:13" x14ac:dyDescent="0.3">
      <c r="A139" s="4">
        <v>138</v>
      </c>
      <c r="B139" s="4" t="s">
        <v>41</v>
      </c>
      <c r="C139" s="4" t="s">
        <v>12</v>
      </c>
      <c r="D139" s="4">
        <v>78819</v>
      </c>
      <c r="E139" s="4" t="s">
        <v>20</v>
      </c>
      <c r="F139" s="4" t="s">
        <v>35</v>
      </c>
      <c r="G139" s="4" t="s">
        <v>15</v>
      </c>
      <c r="H139" s="4">
        <v>1</v>
      </c>
      <c r="I139" s="4" t="s">
        <v>23</v>
      </c>
      <c r="J139" s="4" t="s">
        <v>34</v>
      </c>
      <c r="K139" s="4">
        <v>24</v>
      </c>
      <c r="L139" s="4" t="str">
        <f t="shared" si="2"/>
        <v>Adolescent</v>
      </c>
      <c r="M139" s="4" t="s">
        <v>22</v>
      </c>
    </row>
    <row r="140" spans="1:13" x14ac:dyDescent="0.3">
      <c r="A140" s="4">
        <v>139</v>
      </c>
      <c r="B140" s="4" t="s">
        <v>40</v>
      </c>
      <c r="C140" s="4" t="s">
        <v>19</v>
      </c>
      <c r="D140" s="4">
        <v>114721</v>
      </c>
      <c r="E140" s="4" t="s">
        <v>26</v>
      </c>
      <c r="F140" s="4" t="s">
        <v>36</v>
      </c>
      <c r="G140" s="4" t="s">
        <v>15</v>
      </c>
      <c r="H140" s="4">
        <v>3</v>
      </c>
      <c r="I140" s="4" t="s">
        <v>27</v>
      </c>
      <c r="J140" s="4" t="s">
        <v>28</v>
      </c>
      <c r="K140" s="4">
        <v>21</v>
      </c>
      <c r="L140" s="4" t="str">
        <f t="shared" si="2"/>
        <v>Adolescent</v>
      </c>
      <c r="M140" s="4" t="s">
        <v>15</v>
      </c>
    </row>
    <row r="141" spans="1:13" x14ac:dyDescent="0.3">
      <c r="A141" s="4">
        <v>140</v>
      </c>
      <c r="B141" s="4" t="s">
        <v>40</v>
      </c>
      <c r="C141" s="4" t="s">
        <v>19</v>
      </c>
      <c r="D141" s="4">
        <v>39018</v>
      </c>
      <c r="E141" s="4" t="s">
        <v>20</v>
      </c>
      <c r="F141" s="4" t="s">
        <v>21</v>
      </c>
      <c r="G141" s="4" t="s">
        <v>15</v>
      </c>
      <c r="H141" s="4">
        <v>3</v>
      </c>
      <c r="I141" s="4" t="s">
        <v>23</v>
      </c>
      <c r="J141" s="4" t="s">
        <v>34</v>
      </c>
      <c r="K141" s="4">
        <v>26</v>
      </c>
      <c r="L141" s="4" t="str">
        <f t="shared" si="2"/>
        <v>Adolescent</v>
      </c>
      <c r="M141" s="4" t="s">
        <v>15</v>
      </c>
    </row>
    <row r="142" spans="1:13" x14ac:dyDescent="0.3">
      <c r="A142" s="4">
        <v>141</v>
      </c>
      <c r="B142" s="4" t="s">
        <v>40</v>
      </c>
      <c r="C142" s="4" t="s">
        <v>12</v>
      </c>
      <c r="D142" s="4">
        <v>75634</v>
      </c>
      <c r="E142" s="4" t="s">
        <v>26</v>
      </c>
      <c r="F142" s="4" t="s">
        <v>21</v>
      </c>
      <c r="G142" s="4" t="s">
        <v>22</v>
      </c>
      <c r="H142" s="4">
        <v>1</v>
      </c>
      <c r="I142" s="4" t="s">
        <v>33</v>
      </c>
      <c r="J142" s="4" t="s">
        <v>24</v>
      </c>
      <c r="K142" s="4">
        <v>23</v>
      </c>
      <c r="L142" s="4" t="str">
        <f t="shared" si="2"/>
        <v>Adolescent</v>
      </c>
      <c r="M142" s="4" t="s">
        <v>15</v>
      </c>
    </row>
    <row r="143" spans="1:13" x14ac:dyDescent="0.3">
      <c r="A143" s="4">
        <v>142</v>
      </c>
      <c r="B143" s="4" t="s">
        <v>40</v>
      </c>
      <c r="C143" s="4" t="s">
        <v>12</v>
      </c>
      <c r="D143" s="4">
        <v>115630</v>
      </c>
      <c r="E143" s="4" t="s">
        <v>26</v>
      </c>
      <c r="F143" s="4" t="s">
        <v>36</v>
      </c>
      <c r="G143" s="4" t="s">
        <v>15</v>
      </c>
      <c r="H143" s="4">
        <v>2</v>
      </c>
      <c r="I143" s="4" t="s">
        <v>27</v>
      </c>
      <c r="J143" s="4" t="s">
        <v>34</v>
      </c>
      <c r="K143" s="4">
        <v>21</v>
      </c>
      <c r="L143" s="4" t="str">
        <f t="shared" si="2"/>
        <v>Adolescent</v>
      </c>
      <c r="M143" s="4" t="s">
        <v>15</v>
      </c>
    </row>
    <row r="144" spans="1:13" x14ac:dyDescent="0.3">
      <c r="A144" s="4">
        <v>143</v>
      </c>
      <c r="B144" s="4" t="s">
        <v>40</v>
      </c>
      <c r="C144" s="4" t="s">
        <v>12</v>
      </c>
      <c r="D144" s="4">
        <v>30016</v>
      </c>
      <c r="E144" s="4" t="s">
        <v>31</v>
      </c>
      <c r="F144" s="4" t="s">
        <v>36</v>
      </c>
      <c r="G144" s="4" t="s">
        <v>22</v>
      </c>
      <c r="H144" s="4">
        <v>0</v>
      </c>
      <c r="I144" s="4" t="s">
        <v>16</v>
      </c>
      <c r="J144" s="4" t="s">
        <v>34</v>
      </c>
      <c r="K144" s="4">
        <v>33</v>
      </c>
      <c r="L144" s="4" t="str">
        <f t="shared" si="2"/>
        <v>Middle Age</v>
      </c>
      <c r="M144" s="4" t="s">
        <v>15</v>
      </c>
    </row>
    <row r="145" spans="1:13" x14ac:dyDescent="0.3">
      <c r="A145" s="4">
        <v>144</v>
      </c>
      <c r="B145" s="4" t="s">
        <v>40</v>
      </c>
      <c r="C145" s="4" t="s">
        <v>12</v>
      </c>
      <c r="D145" s="4">
        <v>103652</v>
      </c>
      <c r="E145" s="4" t="s">
        <v>13</v>
      </c>
      <c r="F145" s="4" t="s">
        <v>21</v>
      </c>
      <c r="G145" s="4" t="s">
        <v>15</v>
      </c>
      <c r="H145" s="4">
        <v>0</v>
      </c>
      <c r="I145" s="4" t="s">
        <v>33</v>
      </c>
      <c r="J145" s="4" t="s">
        <v>34</v>
      </c>
      <c r="K145" s="4">
        <v>35</v>
      </c>
      <c r="L145" s="4" t="str">
        <f t="shared" si="2"/>
        <v>Middle Age</v>
      </c>
      <c r="M145" s="4" t="s">
        <v>15</v>
      </c>
    </row>
    <row r="146" spans="1:13" x14ac:dyDescent="0.3">
      <c r="A146" s="4">
        <v>145</v>
      </c>
      <c r="B146" s="4" t="s">
        <v>40</v>
      </c>
      <c r="C146" s="4" t="s">
        <v>19</v>
      </c>
      <c r="D146" s="4">
        <v>39919</v>
      </c>
      <c r="E146" s="4" t="s">
        <v>13</v>
      </c>
      <c r="F146" s="4" t="s">
        <v>14</v>
      </c>
      <c r="G146" s="4" t="s">
        <v>22</v>
      </c>
      <c r="H146" s="4">
        <v>1</v>
      </c>
      <c r="I146" s="4" t="s">
        <v>37</v>
      </c>
      <c r="J146" s="4" t="s">
        <v>28</v>
      </c>
      <c r="K146" s="4">
        <v>20</v>
      </c>
      <c r="L146" s="4" t="str">
        <f t="shared" si="2"/>
        <v>Adolescent</v>
      </c>
      <c r="M146" s="4" t="s">
        <v>15</v>
      </c>
    </row>
    <row r="147" spans="1:13" x14ac:dyDescent="0.3">
      <c r="A147" s="4">
        <v>146</v>
      </c>
      <c r="B147" s="4" t="s">
        <v>40</v>
      </c>
      <c r="C147" s="4" t="s">
        <v>19</v>
      </c>
      <c r="D147" s="4">
        <v>88950</v>
      </c>
      <c r="E147" s="4" t="s">
        <v>13</v>
      </c>
      <c r="F147" s="4" t="s">
        <v>32</v>
      </c>
      <c r="G147" s="4" t="s">
        <v>22</v>
      </c>
      <c r="H147" s="4">
        <v>2</v>
      </c>
      <c r="I147" s="4" t="s">
        <v>23</v>
      </c>
      <c r="J147" s="4" t="s">
        <v>24</v>
      </c>
      <c r="K147" s="4">
        <v>59</v>
      </c>
      <c r="L147" s="4" t="str">
        <f t="shared" si="2"/>
        <v>Old</v>
      </c>
      <c r="M147" s="4" t="s">
        <v>15</v>
      </c>
    </row>
    <row r="148" spans="1:13" x14ac:dyDescent="0.3">
      <c r="A148" s="4">
        <v>147</v>
      </c>
      <c r="B148" s="4" t="s">
        <v>40</v>
      </c>
      <c r="C148" s="4" t="s">
        <v>19</v>
      </c>
      <c r="D148" s="4">
        <v>118254</v>
      </c>
      <c r="E148" s="4" t="s">
        <v>13</v>
      </c>
      <c r="F148" s="4" t="s">
        <v>21</v>
      </c>
      <c r="G148" s="4" t="s">
        <v>15</v>
      </c>
      <c r="H148" s="4">
        <v>0</v>
      </c>
      <c r="I148" s="4" t="s">
        <v>37</v>
      </c>
      <c r="J148" s="4" t="s">
        <v>34</v>
      </c>
      <c r="K148" s="4">
        <v>19</v>
      </c>
      <c r="L148" s="4" t="str">
        <f t="shared" si="2"/>
        <v>Adolescent</v>
      </c>
      <c r="M148" s="4" t="s">
        <v>22</v>
      </c>
    </row>
    <row r="149" spans="1:13" x14ac:dyDescent="0.3">
      <c r="A149" s="4">
        <v>148</v>
      </c>
      <c r="B149" s="4" t="s">
        <v>40</v>
      </c>
      <c r="C149" s="4" t="s">
        <v>12</v>
      </c>
      <c r="D149" s="4">
        <v>31080</v>
      </c>
      <c r="E149" s="4" t="s">
        <v>13</v>
      </c>
      <c r="F149" s="4" t="s">
        <v>35</v>
      </c>
      <c r="G149" s="4" t="s">
        <v>22</v>
      </c>
      <c r="H149" s="4">
        <v>3</v>
      </c>
      <c r="I149" s="4" t="s">
        <v>23</v>
      </c>
      <c r="J149" s="4" t="s">
        <v>34</v>
      </c>
      <c r="K149" s="4">
        <v>47</v>
      </c>
      <c r="L149" s="4" t="str">
        <f t="shared" si="2"/>
        <v>Middle Age</v>
      </c>
      <c r="M149" s="4" t="s">
        <v>15</v>
      </c>
    </row>
    <row r="150" spans="1:13" x14ac:dyDescent="0.3">
      <c r="A150" s="4">
        <v>149</v>
      </c>
      <c r="B150" s="4" t="s">
        <v>40</v>
      </c>
      <c r="C150" s="4" t="s">
        <v>12</v>
      </c>
      <c r="D150" s="4">
        <v>33363</v>
      </c>
      <c r="E150" s="4" t="s">
        <v>13</v>
      </c>
      <c r="F150" s="4" t="s">
        <v>36</v>
      </c>
      <c r="G150" s="4" t="s">
        <v>22</v>
      </c>
      <c r="H150" s="4">
        <v>3</v>
      </c>
      <c r="I150" s="4" t="s">
        <v>37</v>
      </c>
      <c r="J150" s="4" t="s">
        <v>24</v>
      </c>
      <c r="K150" s="4">
        <v>45</v>
      </c>
      <c r="L150" s="4" t="str">
        <f t="shared" si="2"/>
        <v>Middle Age</v>
      </c>
      <c r="M150" s="4" t="s">
        <v>15</v>
      </c>
    </row>
    <row r="151" spans="1:13" x14ac:dyDescent="0.3">
      <c r="A151" s="4">
        <v>150</v>
      </c>
      <c r="B151" s="4" t="s">
        <v>40</v>
      </c>
      <c r="C151" s="4" t="s">
        <v>12</v>
      </c>
      <c r="D151" s="4">
        <v>26341</v>
      </c>
      <c r="E151" s="4" t="s">
        <v>13</v>
      </c>
      <c r="F151" s="4" t="s">
        <v>36</v>
      </c>
      <c r="G151" s="4" t="s">
        <v>15</v>
      </c>
      <c r="H151" s="4">
        <v>3</v>
      </c>
      <c r="I151" s="4" t="s">
        <v>33</v>
      </c>
      <c r="J151" s="4" t="s">
        <v>17</v>
      </c>
      <c r="K151" s="4">
        <v>58</v>
      </c>
      <c r="L151" s="4" t="str">
        <f t="shared" si="2"/>
        <v>Old</v>
      </c>
      <c r="M151" s="4" t="s">
        <v>15</v>
      </c>
    </row>
    <row r="152" spans="1:13" x14ac:dyDescent="0.3">
      <c r="A152" s="4">
        <v>151</v>
      </c>
      <c r="B152" s="4" t="s">
        <v>40</v>
      </c>
      <c r="C152" s="4" t="s">
        <v>19</v>
      </c>
      <c r="D152" s="4">
        <v>106682</v>
      </c>
      <c r="E152" s="4" t="s">
        <v>20</v>
      </c>
      <c r="F152" s="4" t="s">
        <v>14</v>
      </c>
      <c r="G152" s="4" t="s">
        <v>22</v>
      </c>
      <c r="H152" s="4">
        <v>0</v>
      </c>
      <c r="I152" s="4" t="s">
        <v>33</v>
      </c>
      <c r="J152" s="4" t="s">
        <v>28</v>
      </c>
      <c r="K152" s="4">
        <v>45</v>
      </c>
      <c r="L152" s="4" t="str">
        <f t="shared" si="2"/>
        <v>Middle Age</v>
      </c>
      <c r="M152" s="4" t="s">
        <v>15</v>
      </c>
    </row>
    <row r="153" spans="1:13" x14ac:dyDescent="0.3">
      <c r="A153" s="4">
        <v>152</v>
      </c>
      <c r="B153" s="4" t="s">
        <v>40</v>
      </c>
      <c r="C153" s="4" t="s">
        <v>19</v>
      </c>
      <c r="D153" s="4">
        <v>51121</v>
      </c>
      <c r="E153" s="4" t="s">
        <v>13</v>
      </c>
      <c r="F153" s="4" t="s">
        <v>36</v>
      </c>
      <c r="G153" s="4" t="s">
        <v>22</v>
      </c>
      <c r="H153" s="4">
        <v>2</v>
      </c>
      <c r="I153" s="4" t="s">
        <v>27</v>
      </c>
      <c r="J153" s="4" t="s">
        <v>34</v>
      </c>
      <c r="K153" s="4">
        <v>26</v>
      </c>
      <c r="L153" s="4" t="str">
        <f t="shared" si="2"/>
        <v>Adolescent</v>
      </c>
      <c r="M153" s="4" t="s">
        <v>15</v>
      </c>
    </row>
    <row r="154" spans="1:13" x14ac:dyDescent="0.3">
      <c r="A154" s="4">
        <v>153</v>
      </c>
      <c r="B154" s="4" t="s">
        <v>40</v>
      </c>
      <c r="C154" s="4" t="s">
        <v>12</v>
      </c>
      <c r="D154" s="4">
        <v>76894</v>
      </c>
      <c r="E154" s="4" t="s">
        <v>20</v>
      </c>
      <c r="F154" s="4" t="s">
        <v>14</v>
      </c>
      <c r="G154" s="4" t="s">
        <v>22</v>
      </c>
      <c r="H154" s="4">
        <v>3</v>
      </c>
      <c r="I154" s="4" t="s">
        <v>16</v>
      </c>
      <c r="J154" s="4" t="s">
        <v>24</v>
      </c>
      <c r="K154" s="4">
        <v>28</v>
      </c>
      <c r="L154" s="4" t="str">
        <f t="shared" si="2"/>
        <v>Adolescent</v>
      </c>
      <c r="M154" s="4" t="s">
        <v>15</v>
      </c>
    </row>
    <row r="155" spans="1:13" x14ac:dyDescent="0.3">
      <c r="A155" s="4">
        <v>154</v>
      </c>
      <c r="B155" s="4" t="s">
        <v>40</v>
      </c>
      <c r="C155" s="4" t="s">
        <v>12</v>
      </c>
      <c r="D155" s="4">
        <v>97171</v>
      </c>
      <c r="E155" s="4" t="s">
        <v>20</v>
      </c>
      <c r="F155" s="4" t="s">
        <v>14</v>
      </c>
      <c r="G155" s="4" t="s">
        <v>22</v>
      </c>
      <c r="H155" s="4">
        <v>3</v>
      </c>
      <c r="I155" s="4" t="s">
        <v>23</v>
      </c>
      <c r="J155" s="4" t="s">
        <v>28</v>
      </c>
      <c r="K155" s="4">
        <v>49</v>
      </c>
      <c r="L155" s="4" t="str">
        <f t="shared" si="2"/>
        <v>Middle Age</v>
      </c>
      <c r="M155" s="4" t="s">
        <v>15</v>
      </c>
    </row>
    <row r="156" spans="1:13" x14ac:dyDescent="0.3">
      <c r="A156" s="4">
        <v>155</v>
      </c>
      <c r="B156" s="4" t="s">
        <v>40</v>
      </c>
      <c r="C156" s="4" t="s">
        <v>19</v>
      </c>
      <c r="D156" s="4">
        <v>100988</v>
      </c>
      <c r="E156" s="4" t="s">
        <v>31</v>
      </c>
      <c r="F156" s="4" t="s">
        <v>14</v>
      </c>
      <c r="G156" s="4" t="s">
        <v>22</v>
      </c>
      <c r="H156" s="4">
        <v>3</v>
      </c>
      <c r="I156" s="4" t="s">
        <v>37</v>
      </c>
      <c r="J156" s="4" t="s">
        <v>24</v>
      </c>
      <c r="K156" s="4">
        <v>19</v>
      </c>
      <c r="L156" s="4" t="str">
        <f t="shared" si="2"/>
        <v>Adolescent</v>
      </c>
      <c r="M156" s="4" t="s">
        <v>15</v>
      </c>
    </row>
    <row r="157" spans="1:13" x14ac:dyDescent="0.3">
      <c r="A157" s="4">
        <v>156</v>
      </c>
      <c r="B157" s="4" t="s">
        <v>40</v>
      </c>
      <c r="C157" s="4" t="s">
        <v>12</v>
      </c>
      <c r="D157" s="4">
        <v>80729</v>
      </c>
      <c r="E157" s="4" t="s">
        <v>31</v>
      </c>
      <c r="F157" s="4" t="s">
        <v>21</v>
      </c>
      <c r="G157" s="4" t="s">
        <v>15</v>
      </c>
      <c r="H157" s="4">
        <v>1</v>
      </c>
      <c r="I157" s="4" t="s">
        <v>16</v>
      </c>
      <c r="J157" s="4" t="s">
        <v>28</v>
      </c>
      <c r="K157" s="4">
        <v>18</v>
      </c>
      <c r="L157" s="4" t="str">
        <f t="shared" si="2"/>
        <v>Adolescent</v>
      </c>
      <c r="M157" s="4" t="s">
        <v>22</v>
      </c>
    </row>
    <row r="158" spans="1:13" x14ac:dyDescent="0.3">
      <c r="A158" s="4">
        <v>157</v>
      </c>
      <c r="B158" s="4" t="s">
        <v>40</v>
      </c>
      <c r="C158" s="4" t="s">
        <v>19</v>
      </c>
      <c r="D158" s="4">
        <v>104059</v>
      </c>
      <c r="E158" s="4" t="s">
        <v>26</v>
      </c>
      <c r="F158" s="4" t="s">
        <v>21</v>
      </c>
      <c r="G158" s="4" t="s">
        <v>15</v>
      </c>
      <c r="H158" s="4">
        <v>1</v>
      </c>
      <c r="I158" s="4" t="s">
        <v>27</v>
      </c>
      <c r="J158" s="4" t="s">
        <v>24</v>
      </c>
      <c r="K158" s="4">
        <v>48</v>
      </c>
      <c r="L158" s="4" t="str">
        <f t="shared" si="2"/>
        <v>Middle Age</v>
      </c>
      <c r="M158" s="4" t="s">
        <v>15</v>
      </c>
    </row>
    <row r="159" spans="1:13" x14ac:dyDescent="0.3">
      <c r="A159" s="4">
        <v>158</v>
      </c>
      <c r="B159" s="4" t="s">
        <v>40</v>
      </c>
      <c r="C159" s="4" t="s">
        <v>19</v>
      </c>
      <c r="D159" s="4">
        <v>83283</v>
      </c>
      <c r="E159" s="4" t="s">
        <v>13</v>
      </c>
      <c r="F159" s="4" t="s">
        <v>14</v>
      </c>
      <c r="G159" s="4" t="s">
        <v>15</v>
      </c>
      <c r="H159" s="4">
        <v>0</v>
      </c>
      <c r="I159" s="4" t="s">
        <v>37</v>
      </c>
      <c r="J159" s="4" t="s">
        <v>34</v>
      </c>
      <c r="K159" s="4">
        <v>49</v>
      </c>
      <c r="L159" s="4" t="str">
        <f t="shared" si="2"/>
        <v>Middle Age</v>
      </c>
      <c r="M159" s="4" t="s">
        <v>15</v>
      </c>
    </row>
    <row r="160" spans="1:13" x14ac:dyDescent="0.3">
      <c r="A160" s="4">
        <v>159</v>
      </c>
      <c r="B160" s="4" t="s">
        <v>40</v>
      </c>
      <c r="C160" s="4" t="s">
        <v>12</v>
      </c>
      <c r="D160" s="4">
        <v>93820</v>
      </c>
      <c r="E160" s="4" t="s">
        <v>20</v>
      </c>
      <c r="F160" s="4" t="s">
        <v>35</v>
      </c>
      <c r="G160" s="4" t="s">
        <v>22</v>
      </c>
      <c r="H160" s="4">
        <v>0</v>
      </c>
      <c r="I160" s="4" t="s">
        <v>27</v>
      </c>
      <c r="J160" s="4" t="s">
        <v>24</v>
      </c>
      <c r="K160" s="4">
        <v>38</v>
      </c>
      <c r="L160" s="4" t="str">
        <f t="shared" si="2"/>
        <v>Middle Age</v>
      </c>
      <c r="M160" s="4" t="s">
        <v>22</v>
      </c>
    </row>
    <row r="161" spans="1:13" x14ac:dyDescent="0.3">
      <c r="A161" s="4">
        <v>160</v>
      </c>
      <c r="B161" s="4" t="s">
        <v>40</v>
      </c>
      <c r="C161" s="4" t="s">
        <v>12</v>
      </c>
      <c r="D161" s="4">
        <v>25897</v>
      </c>
      <c r="E161" s="4" t="s">
        <v>13</v>
      </c>
      <c r="F161" s="4" t="s">
        <v>32</v>
      </c>
      <c r="G161" s="4" t="s">
        <v>22</v>
      </c>
      <c r="H161" s="4">
        <v>0</v>
      </c>
      <c r="I161" s="4" t="s">
        <v>33</v>
      </c>
      <c r="J161" s="4" t="s">
        <v>28</v>
      </c>
      <c r="K161" s="4">
        <v>22</v>
      </c>
      <c r="L161" s="4" t="str">
        <f t="shared" si="2"/>
        <v>Adolescent</v>
      </c>
      <c r="M161" s="4" t="s">
        <v>15</v>
      </c>
    </row>
    <row r="162" spans="1:13" x14ac:dyDescent="0.3">
      <c r="A162" s="4">
        <v>161</v>
      </c>
      <c r="B162" s="4" t="s">
        <v>40</v>
      </c>
      <c r="C162" s="4" t="s">
        <v>12</v>
      </c>
      <c r="D162" s="4">
        <v>88270</v>
      </c>
      <c r="E162" s="4" t="s">
        <v>13</v>
      </c>
      <c r="F162" s="4" t="s">
        <v>32</v>
      </c>
      <c r="G162" s="4" t="s">
        <v>15</v>
      </c>
      <c r="H162" s="4">
        <v>2</v>
      </c>
      <c r="I162" s="4" t="s">
        <v>27</v>
      </c>
      <c r="J162" s="4" t="s">
        <v>24</v>
      </c>
      <c r="K162" s="4">
        <v>56</v>
      </c>
      <c r="L162" s="4" t="str">
        <f t="shared" si="2"/>
        <v>Old</v>
      </c>
      <c r="M162" s="4" t="s">
        <v>15</v>
      </c>
    </row>
    <row r="163" spans="1:13" x14ac:dyDescent="0.3">
      <c r="A163" s="4">
        <v>162</v>
      </c>
      <c r="B163" s="4" t="s">
        <v>40</v>
      </c>
      <c r="C163" s="4" t="s">
        <v>19</v>
      </c>
      <c r="D163" s="4">
        <v>86785</v>
      </c>
      <c r="E163" s="4" t="s">
        <v>13</v>
      </c>
      <c r="F163" s="4" t="s">
        <v>35</v>
      </c>
      <c r="G163" s="4" t="s">
        <v>22</v>
      </c>
      <c r="H163" s="4">
        <v>0</v>
      </c>
      <c r="I163" s="4" t="s">
        <v>16</v>
      </c>
      <c r="J163" s="4" t="s">
        <v>28</v>
      </c>
      <c r="K163" s="4">
        <v>22</v>
      </c>
      <c r="L163" s="4" t="str">
        <f t="shared" si="2"/>
        <v>Adolescent</v>
      </c>
      <c r="M163" s="4" t="s">
        <v>22</v>
      </c>
    </row>
    <row r="164" spans="1:13" x14ac:dyDescent="0.3">
      <c r="A164" s="4">
        <v>163</v>
      </c>
      <c r="B164" s="4" t="s">
        <v>40</v>
      </c>
      <c r="C164" s="4" t="s">
        <v>12</v>
      </c>
      <c r="D164" s="4">
        <v>41038</v>
      </c>
      <c r="E164" s="4" t="s">
        <v>20</v>
      </c>
      <c r="F164" s="4" t="s">
        <v>35</v>
      </c>
      <c r="G164" s="4" t="s">
        <v>15</v>
      </c>
      <c r="H164" s="4">
        <v>1</v>
      </c>
      <c r="I164" s="4" t="s">
        <v>23</v>
      </c>
      <c r="J164" s="4" t="s">
        <v>28</v>
      </c>
      <c r="K164" s="4">
        <v>21</v>
      </c>
      <c r="L164" s="4" t="str">
        <f t="shared" si="2"/>
        <v>Adolescent</v>
      </c>
      <c r="M164" s="4" t="s">
        <v>15</v>
      </c>
    </row>
    <row r="165" spans="1:13" x14ac:dyDescent="0.3">
      <c r="A165" s="4">
        <v>164</v>
      </c>
      <c r="B165" s="4" t="s">
        <v>41</v>
      </c>
      <c r="C165" s="4" t="s">
        <v>12</v>
      </c>
      <c r="D165" s="4">
        <v>116426</v>
      </c>
      <c r="E165" s="4" t="s">
        <v>31</v>
      </c>
      <c r="F165" s="4" t="s">
        <v>32</v>
      </c>
      <c r="G165" s="4" t="s">
        <v>15</v>
      </c>
      <c r="H165" s="4">
        <v>2</v>
      </c>
      <c r="I165" s="4" t="s">
        <v>23</v>
      </c>
      <c r="J165" s="4" t="s">
        <v>28</v>
      </c>
      <c r="K165" s="4">
        <v>54</v>
      </c>
      <c r="L165" s="4" t="str">
        <f t="shared" si="2"/>
        <v>Middle Age</v>
      </c>
      <c r="M165" s="4" t="s">
        <v>15</v>
      </c>
    </row>
    <row r="166" spans="1:13" x14ac:dyDescent="0.3">
      <c r="A166" s="4">
        <v>165</v>
      </c>
      <c r="B166" s="4" t="s">
        <v>40</v>
      </c>
      <c r="C166" s="4" t="s">
        <v>12</v>
      </c>
      <c r="D166" s="4">
        <v>114407</v>
      </c>
      <c r="E166" s="4" t="s">
        <v>31</v>
      </c>
      <c r="F166" s="4" t="s">
        <v>32</v>
      </c>
      <c r="G166" s="4" t="s">
        <v>22</v>
      </c>
      <c r="H166" s="4">
        <v>1</v>
      </c>
      <c r="I166" s="4" t="s">
        <v>33</v>
      </c>
      <c r="J166" s="4" t="s">
        <v>34</v>
      </c>
      <c r="K166" s="4">
        <v>30</v>
      </c>
      <c r="L166" s="4" t="str">
        <f t="shared" si="2"/>
        <v>Adolescent</v>
      </c>
      <c r="M166" s="4" t="s">
        <v>22</v>
      </c>
    </row>
    <row r="167" spans="1:13" x14ac:dyDescent="0.3">
      <c r="A167" s="4">
        <v>166</v>
      </c>
      <c r="B167" s="4" t="s">
        <v>40</v>
      </c>
      <c r="C167" s="4" t="s">
        <v>12</v>
      </c>
      <c r="D167" s="4">
        <v>36236</v>
      </c>
      <c r="E167" s="4" t="s">
        <v>31</v>
      </c>
      <c r="F167" s="4" t="s">
        <v>32</v>
      </c>
      <c r="G167" s="4" t="s">
        <v>22</v>
      </c>
      <c r="H167" s="4">
        <v>0</v>
      </c>
      <c r="I167" s="4" t="s">
        <v>33</v>
      </c>
      <c r="J167" s="4" t="s">
        <v>24</v>
      </c>
      <c r="K167" s="4">
        <v>42</v>
      </c>
      <c r="L167" s="4" t="str">
        <f t="shared" si="2"/>
        <v>Middle Age</v>
      </c>
      <c r="M167" s="4" t="s">
        <v>15</v>
      </c>
    </row>
    <row r="168" spans="1:13" x14ac:dyDescent="0.3">
      <c r="A168" s="4">
        <v>167</v>
      </c>
      <c r="B168" s="4" t="s">
        <v>41</v>
      </c>
      <c r="C168" s="4" t="s">
        <v>19</v>
      </c>
      <c r="D168" s="4">
        <v>82544</v>
      </c>
      <c r="E168" s="4" t="s">
        <v>31</v>
      </c>
      <c r="F168" s="4" t="s">
        <v>14</v>
      </c>
      <c r="G168" s="4" t="s">
        <v>22</v>
      </c>
      <c r="H168" s="4">
        <v>3</v>
      </c>
      <c r="I168" s="4" t="s">
        <v>27</v>
      </c>
      <c r="J168" s="4" t="s">
        <v>17</v>
      </c>
      <c r="K168" s="4">
        <v>19</v>
      </c>
      <c r="L168" s="4" t="str">
        <f t="shared" si="2"/>
        <v>Adolescent</v>
      </c>
      <c r="M168" s="4" t="s">
        <v>15</v>
      </c>
    </row>
    <row r="169" spans="1:13" x14ac:dyDescent="0.3">
      <c r="A169" s="4">
        <v>168</v>
      </c>
      <c r="B169" s="4" t="s">
        <v>40</v>
      </c>
      <c r="C169" s="4" t="s">
        <v>12</v>
      </c>
      <c r="D169" s="4">
        <v>84131</v>
      </c>
      <c r="E169" s="4" t="s">
        <v>26</v>
      </c>
      <c r="F169" s="4" t="s">
        <v>14</v>
      </c>
      <c r="G169" s="4" t="s">
        <v>15</v>
      </c>
      <c r="H169" s="4">
        <v>1</v>
      </c>
      <c r="I169" s="4" t="s">
        <v>37</v>
      </c>
      <c r="J169" s="4" t="s">
        <v>34</v>
      </c>
      <c r="K169" s="4">
        <v>36</v>
      </c>
      <c r="L169" s="4" t="str">
        <f t="shared" si="2"/>
        <v>Middle Age</v>
      </c>
      <c r="M169" s="4" t="s">
        <v>15</v>
      </c>
    </row>
    <row r="170" spans="1:13" x14ac:dyDescent="0.3">
      <c r="A170" s="4">
        <v>169</v>
      </c>
      <c r="B170" s="4" t="s">
        <v>40</v>
      </c>
      <c r="C170" s="4" t="s">
        <v>12</v>
      </c>
      <c r="D170" s="4">
        <v>88669</v>
      </c>
      <c r="E170" s="4" t="s">
        <v>26</v>
      </c>
      <c r="F170" s="4" t="s">
        <v>14</v>
      </c>
      <c r="G170" s="4" t="s">
        <v>15</v>
      </c>
      <c r="H170" s="4">
        <v>2</v>
      </c>
      <c r="I170" s="4" t="s">
        <v>37</v>
      </c>
      <c r="J170" s="4" t="s">
        <v>17</v>
      </c>
      <c r="K170" s="4">
        <v>54</v>
      </c>
      <c r="L170" s="4" t="str">
        <f t="shared" si="2"/>
        <v>Middle Age</v>
      </c>
      <c r="M170" s="4" t="s">
        <v>15</v>
      </c>
    </row>
    <row r="171" spans="1:13" x14ac:dyDescent="0.3">
      <c r="A171" s="4">
        <v>170</v>
      </c>
      <c r="B171" s="4" t="s">
        <v>40</v>
      </c>
      <c r="C171" s="4" t="s">
        <v>19</v>
      </c>
      <c r="D171" s="4">
        <v>61544</v>
      </c>
      <c r="E171" s="4" t="s">
        <v>13</v>
      </c>
      <c r="F171" s="4" t="s">
        <v>14</v>
      </c>
      <c r="G171" s="4" t="s">
        <v>15</v>
      </c>
      <c r="H171" s="4">
        <v>0</v>
      </c>
      <c r="I171" s="4" t="s">
        <v>33</v>
      </c>
      <c r="J171" s="4" t="s">
        <v>24</v>
      </c>
      <c r="K171" s="4">
        <v>55</v>
      </c>
      <c r="L171" s="4" t="str">
        <f t="shared" si="2"/>
        <v>Old</v>
      </c>
      <c r="M171" s="4" t="s">
        <v>15</v>
      </c>
    </row>
    <row r="172" spans="1:13" x14ac:dyDescent="0.3">
      <c r="A172" s="4">
        <v>171</v>
      </c>
      <c r="B172" s="4" t="s">
        <v>40</v>
      </c>
      <c r="C172" s="4" t="s">
        <v>12</v>
      </c>
      <c r="D172" s="4">
        <v>32412</v>
      </c>
      <c r="E172" s="4" t="s">
        <v>26</v>
      </c>
      <c r="F172" s="4" t="s">
        <v>36</v>
      </c>
      <c r="G172" s="4" t="s">
        <v>15</v>
      </c>
      <c r="H172" s="4">
        <v>0</v>
      </c>
      <c r="I172" s="4" t="s">
        <v>33</v>
      </c>
      <c r="J172" s="4" t="s">
        <v>28</v>
      </c>
      <c r="K172" s="4">
        <v>46</v>
      </c>
      <c r="L172" s="4" t="str">
        <f t="shared" si="2"/>
        <v>Middle Age</v>
      </c>
      <c r="M172" s="4" t="s">
        <v>15</v>
      </c>
    </row>
    <row r="173" spans="1:13" x14ac:dyDescent="0.3">
      <c r="A173" s="4">
        <v>172</v>
      </c>
      <c r="B173" s="4" t="s">
        <v>40</v>
      </c>
      <c r="C173" s="4" t="s">
        <v>19</v>
      </c>
      <c r="D173" s="4">
        <v>81556</v>
      </c>
      <c r="E173" s="4" t="s">
        <v>26</v>
      </c>
      <c r="F173" s="4" t="s">
        <v>21</v>
      </c>
      <c r="G173" s="4" t="s">
        <v>15</v>
      </c>
      <c r="H173" s="4">
        <v>1</v>
      </c>
      <c r="I173" s="4" t="s">
        <v>23</v>
      </c>
      <c r="J173" s="4" t="s">
        <v>28</v>
      </c>
      <c r="K173" s="4">
        <v>29</v>
      </c>
      <c r="L173" s="4" t="str">
        <f t="shared" si="2"/>
        <v>Adolescent</v>
      </c>
      <c r="M173" s="4" t="s">
        <v>22</v>
      </c>
    </row>
    <row r="174" spans="1:13" x14ac:dyDescent="0.3">
      <c r="A174" s="4">
        <v>173</v>
      </c>
      <c r="B174" s="4" t="s">
        <v>40</v>
      </c>
      <c r="C174" s="4" t="s">
        <v>19</v>
      </c>
      <c r="D174" s="4">
        <v>102450</v>
      </c>
      <c r="E174" s="4" t="s">
        <v>20</v>
      </c>
      <c r="F174" s="4" t="s">
        <v>21</v>
      </c>
      <c r="G174" s="4" t="s">
        <v>22</v>
      </c>
      <c r="H174" s="4">
        <v>2</v>
      </c>
      <c r="I174" s="4" t="s">
        <v>23</v>
      </c>
      <c r="J174" s="4" t="s">
        <v>28</v>
      </c>
      <c r="K174" s="4">
        <v>25</v>
      </c>
      <c r="L174" s="4" t="str">
        <f t="shared" si="2"/>
        <v>Adolescent</v>
      </c>
      <c r="M174" s="4" t="s">
        <v>15</v>
      </c>
    </row>
    <row r="175" spans="1:13" x14ac:dyDescent="0.3">
      <c r="A175" s="4">
        <v>174</v>
      </c>
      <c r="B175" s="4" t="s">
        <v>40</v>
      </c>
      <c r="C175" s="4" t="s">
        <v>12</v>
      </c>
      <c r="D175" s="4">
        <v>85584</v>
      </c>
      <c r="E175" s="4" t="s">
        <v>26</v>
      </c>
      <c r="F175" s="4" t="s">
        <v>36</v>
      </c>
      <c r="G175" s="4" t="s">
        <v>15</v>
      </c>
      <c r="H175" s="4">
        <v>0</v>
      </c>
      <c r="I175" s="4" t="s">
        <v>16</v>
      </c>
      <c r="J175" s="4" t="s">
        <v>34</v>
      </c>
      <c r="K175" s="4">
        <v>44</v>
      </c>
      <c r="L175" s="4" t="str">
        <f t="shared" si="2"/>
        <v>Middle Age</v>
      </c>
      <c r="M175" s="4" t="s">
        <v>22</v>
      </c>
    </row>
    <row r="176" spans="1:13" x14ac:dyDescent="0.3">
      <c r="A176" s="4">
        <v>175</v>
      </c>
      <c r="B176" s="4" t="s">
        <v>41</v>
      </c>
      <c r="C176" s="4" t="s">
        <v>19</v>
      </c>
      <c r="D176" s="4">
        <v>110272</v>
      </c>
      <c r="E176" s="4" t="s">
        <v>26</v>
      </c>
      <c r="F176" s="4" t="s">
        <v>21</v>
      </c>
      <c r="G176" s="4" t="s">
        <v>22</v>
      </c>
      <c r="H176" s="4">
        <v>0</v>
      </c>
      <c r="I176" s="4" t="s">
        <v>23</v>
      </c>
      <c r="J176" s="4" t="s">
        <v>24</v>
      </c>
      <c r="K176" s="4">
        <v>31</v>
      </c>
      <c r="L176" s="4" t="str">
        <f t="shared" si="2"/>
        <v>Invalid</v>
      </c>
      <c r="M176" s="4" t="s">
        <v>15</v>
      </c>
    </row>
    <row r="177" spans="1:13" x14ac:dyDescent="0.3">
      <c r="A177" s="4">
        <v>176</v>
      </c>
      <c r="B177" s="4" t="s">
        <v>40</v>
      </c>
      <c r="C177" s="4" t="s">
        <v>12</v>
      </c>
      <c r="D177" s="4">
        <v>111069</v>
      </c>
      <c r="E177" s="4" t="s">
        <v>26</v>
      </c>
      <c r="F177" s="4" t="s">
        <v>35</v>
      </c>
      <c r="G177" s="4" t="s">
        <v>15</v>
      </c>
      <c r="H177" s="4">
        <v>0</v>
      </c>
      <c r="I177" s="4" t="s">
        <v>16</v>
      </c>
      <c r="J177" s="4" t="s">
        <v>17</v>
      </c>
      <c r="K177" s="4">
        <v>54</v>
      </c>
      <c r="L177" s="4" t="str">
        <f t="shared" si="2"/>
        <v>Middle Age</v>
      </c>
      <c r="M177" s="4" t="s">
        <v>15</v>
      </c>
    </row>
    <row r="178" spans="1:13" x14ac:dyDescent="0.3">
      <c r="A178" s="4">
        <v>177</v>
      </c>
      <c r="B178" s="4" t="s">
        <v>40</v>
      </c>
      <c r="C178" s="4" t="s">
        <v>19</v>
      </c>
      <c r="D178" s="4">
        <v>85179</v>
      </c>
      <c r="E178" s="4" t="s">
        <v>26</v>
      </c>
      <c r="F178" s="4" t="s">
        <v>14</v>
      </c>
      <c r="G178" s="4" t="s">
        <v>15</v>
      </c>
      <c r="H178" s="4">
        <v>3</v>
      </c>
      <c r="I178" s="4" t="s">
        <v>33</v>
      </c>
      <c r="J178" s="4" t="s">
        <v>17</v>
      </c>
      <c r="K178" s="4">
        <v>45</v>
      </c>
      <c r="L178" s="4" t="str">
        <f t="shared" si="2"/>
        <v>Middle Age</v>
      </c>
      <c r="M178" s="4" t="s">
        <v>15</v>
      </c>
    </row>
    <row r="179" spans="1:13" x14ac:dyDescent="0.3">
      <c r="A179" s="4">
        <v>178</v>
      </c>
      <c r="B179" s="4" t="s">
        <v>41</v>
      </c>
      <c r="C179" s="4" t="s">
        <v>19</v>
      </c>
      <c r="D179" s="4">
        <v>91252</v>
      </c>
      <c r="E179" s="4" t="s">
        <v>26</v>
      </c>
      <c r="F179" s="4" t="s">
        <v>14</v>
      </c>
      <c r="G179" s="4" t="s">
        <v>22</v>
      </c>
      <c r="H179" s="4">
        <v>2</v>
      </c>
      <c r="I179" s="4" t="s">
        <v>33</v>
      </c>
      <c r="J179" s="4" t="s">
        <v>24</v>
      </c>
      <c r="K179" s="4">
        <v>36</v>
      </c>
      <c r="L179" s="4" t="str">
        <f t="shared" si="2"/>
        <v>Middle Age</v>
      </c>
      <c r="M179" s="4" t="s">
        <v>22</v>
      </c>
    </row>
    <row r="180" spans="1:13" x14ac:dyDescent="0.3">
      <c r="A180" s="4">
        <v>179</v>
      </c>
      <c r="B180" s="4" t="s">
        <v>40</v>
      </c>
      <c r="C180" s="4" t="s">
        <v>19</v>
      </c>
      <c r="D180" s="4">
        <v>113210</v>
      </c>
      <c r="E180" s="4" t="s">
        <v>20</v>
      </c>
      <c r="F180" s="4" t="s">
        <v>21</v>
      </c>
      <c r="G180" s="4" t="s">
        <v>15</v>
      </c>
      <c r="H180" s="4">
        <v>1</v>
      </c>
      <c r="I180" s="4" t="s">
        <v>37</v>
      </c>
      <c r="J180" s="4" t="s">
        <v>17</v>
      </c>
      <c r="K180" s="4">
        <v>51</v>
      </c>
      <c r="L180" s="4" t="str">
        <f t="shared" si="2"/>
        <v>Middle Age</v>
      </c>
      <c r="M180" s="4" t="s">
        <v>15</v>
      </c>
    </row>
    <row r="181" spans="1:13" x14ac:dyDescent="0.3">
      <c r="A181" s="4">
        <v>180</v>
      </c>
      <c r="B181" s="4" t="s">
        <v>40</v>
      </c>
      <c r="C181" s="4" t="s">
        <v>12</v>
      </c>
      <c r="D181" s="4">
        <v>110221</v>
      </c>
      <c r="E181" s="4" t="s">
        <v>31</v>
      </c>
      <c r="F181" s="4" t="s">
        <v>14</v>
      </c>
      <c r="G181" s="4" t="s">
        <v>22</v>
      </c>
      <c r="H181" s="4">
        <v>0</v>
      </c>
      <c r="I181" s="4" t="s">
        <v>37</v>
      </c>
      <c r="J181" s="4" t="s">
        <v>34</v>
      </c>
      <c r="K181" s="4">
        <v>20</v>
      </c>
      <c r="L181" s="4" t="str">
        <f t="shared" si="2"/>
        <v>Adolescent</v>
      </c>
      <c r="M181" s="4" t="s">
        <v>22</v>
      </c>
    </row>
    <row r="182" spans="1:13" x14ac:dyDescent="0.3">
      <c r="A182" s="4">
        <v>181</v>
      </c>
      <c r="B182" s="4" t="s">
        <v>40</v>
      </c>
      <c r="C182" s="4" t="s">
        <v>12</v>
      </c>
      <c r="D182" s="4">
        <v>81640</v>
      </c>
      <c r="E182" s="4" t="s">
        <v>20</v>
      </c>
      <c r="F182" s="4" t="s">
        <v>32</v>
      </c>
      <c r="G182" s="4" t="s">
        <v>15</v>
      </c>
      <c r="H182" s="4">
        <v>3</v>
      </c>
      <c r="I182" s="4" t="s">
        <v>16</v>
      </c>
      <c r="J182" s="4" t="s">
        <v>28</v>
      </c>
      <c r="K182" s="4">
        <v>34</v>
      </c>
      <c r="L182" s="4" t="str">
        <f t="shared" si="2"/>
        <v>Middle Age</v>
      </c>
      <c r="M182" s="4" t="s">
        <v>15</v>
      </c>
    </row>
    <row r="183" spans="1:13" x14ac:dyDescent="0.3">
      <c r="A183" s="4">
        <v>182</v>
      </c>
      <c r="B183" s="4" t="s">
        <v>40</v>
      </c>
      <c r="C183" s="4" t="s">
        <v>19</v>
      </c>
      <c r="D183" s="4">
        <v>99324</v>
      </c>
      <c r="E183" s="4" t="s">
        <v>20</v>
      </c>
      <c r="F183" s="4" t="s">
        <v>32</v>
      </c>
      <c r="G183" s="4" t="s">
        <v>15</v>
      </c>
      <c r="H183" s="4">
        <v>0</v>
      </c>
      <c r="I183" s="4" t="s">
        <v>33</v>
      </c>
      <c r="J183" s="4" t="s">
        <v>24</v>
      </c>
      <c r="K183" s="4">
        <v>40</v>
      </c>
      <c r="L183" s="4" t="str">
        <f t="shared" si="2"/>
        <v>Middle Age</v>
      </c>
      <c r="M183" s="4" t="s">
        <v>22</v>
      </c>
    </row>
    <row r="184" spans="1:13" x14ac:dyDescent="0.3">
      <c r="A184" s="4">
        <v>183</v>
      </c>
      <c r="B184" s="4" t="s">
        <v>40</v>
      </c>
      <c r="C184" s="4" t="s">
        <v>12</v>
      </c>
      <c r="D184" s="4">
        <v>76587</v>
      </c>
      <c r="E184" s="4" t="s">
        <v>20</v>
      </c>
      <c r="F184" s="4" t="s">
        <v>21</v>
      </c>
      <c r="G184" s="4" t="s">
        <v>15</v>
      </c>
      <c r="H184" s="4">
        <v>0</v>
      </c>
      <c r="I184" s="4" t="s">
        <v>23</v>
      </c>
      <c r="J184" s="4" t="s">
        <v>28</v>
      </c>
      <c r="K184" s="4">
        <v>24</v>
      </c>
      <c r="L184" s="4" t="str">
        <f t="shared" si="2"/>
        <v>Adolescent</v>
      </c>
      <c r="M184" s="4" t="s">
        <v>15</v>
      </c>
    </row>
    <row r="185" spans="1:13" x14ac:dyDescent="0.3">
      <c r="A185" s="4">
        <v>184</v>
      </c>
      <c r="B185" s="4" t="s">
        <v>40</v>
      </c>
      <c r="C185" s="4" t="s">
        <v>12</v>
      </c>
      <c r="D185" s="4">
        <v>66546</v>
      </c>
      <c r="E185" s="4" t="s">
        <v>13</v>
      </c>
      <c r="F185" s="4" t="s">
        <v>14</v>
      </c>
      <c r="G185" s="4" t="s">
        <v>22</v>
      </c>
      <c r="H185" s="4">
        <v>3</v>
      </c>
      <c r="I185" s="4" t="s">
        <v>27</v>
      </c>
      <c r="J185" s="4" t="s">
        <v>34</v>
      </c>
      <c r="K185" s="4">
        <v>27</v>
      </c>
      <c r="L185" s="4" t="str">
        <f t="shared" si="2"/>
        <v>Adolescent</v>
      </c>
      <c r="M185" s="4" t="s">
        <v>15</v>
      </c>
    </row>
    <row r="186" spans="1:13" x14ac:dyDescent="0.3">
      <c r="A186" s="4">
        <v>185</v>
      </c>
      <c r="B186" s="4" t="s">
        <v>40</v>
      </c>
      <c r="C186" s="4" t="s">
        <v>19</v>
      </c>
      <c r="D186" s="4">
        <v>43024</v>
      </c>
      <c r="E186" s="4" t="s">
        <v>13</v>
      </c>
      <c r="F186" s="4" t="s">
        <v>36</v>
      </c>
      <c r="G186" s="4" t="s">
        <v>15</v>
      </c>
      <c r="H186" s="4">
        <v>3</v>
      </c>
      <c r="I186" s="4" t="s">
        <v>27</v>
      </c>
      <c r="J186" s="4" t="s">
        <v>34</v>
      </c>
      <c r="K186" s="4">
        <v>25</v>
      </c>
      <c r="L186" s="4" t="str">
        <f t="shared" si="2"/>
        <v>Adolescent</v>
      </c>
      <c r="M186" s="4" t="s">
        <v>15</v>
      </c>
    </row>
    <row r="187" spans="1:13" x14ac:dyDescent="0.3">
      <c r="A187" s="4">
        <v>186</v>
      </c>
      <c r="B187" s="4" t="s">
        <v>40</v>
      </c>
      <c r="C187" s="4" t="s">
        <v>19</v>
      </c>
      <c r="D187" s="4">
        <v>109918</v>
      </c>
      <c r="E187" s="4" t="s">
        <v>31</v>
      </c>
      <c r="F187" s="4" t="s">
        <v>32</v>
      </c>
      <c r="G187" s="4" t="s">
        <v>15</v>
      </c>
      <c r="H187" s="4">
        <v>0</v>
      </c>
      <c r="I187" s="4" t="s">
        <v>23</v>
      </c>
      <c r="J187" s="4" t="s">
        <v>28</v>
      </c>
      <c r="K187" s="4">
        <v>40</v>
      </c>
      <c r="L187" s="4" t="str">
        <f t="shared" si="2"/>
        <v>Middle Age</v>
      </c>
      <c r="M187" s="4" t="s">
        <v>22</v>
      </c>
    </row>
    <row r="188" spans="1:13" x14ac:dyDescent="0.3">
      <c r="A188" s="4">
        <v>187</v>
      </c>
      <c r="B188" s="4" t="s">
        <v>41</v>
      </c>
      <c r="C188" s="4" t="s">
        <v>19</v>
      </c>
      <c r="D188" s="4">
        <v>52527</v>
      </c>
      <c r="E188" s="4" t="s">
        <v>20</v>
      </c>
      <c r="F188" s="4" t="s">
        <v>32</v>
      </c>
      <c r="G188" s="4" t="s">
        <v>22</v>
      </c>
      <c r="H188" s="4">
        <v>2</v>
      </c>
      <c r="I188" s="4" t="s">
        <v>27</v>
      </c>
      <c r="J188" s="4" t="s">
        <v>34</v>
      </c>
      <c r="K188" s="4">
        <v>56</v>
      </c>
      <c r="L188" s="4" t="str">
        <f t="shared" si="2"/>
        <v>Old</v>
      </c>
      <c r="M188" s="4" t="s">
        <v>15</v>
      </c>
    </row>
    <row r="189" spans="1:13" x14ac:dyDescent="0.3">
      <c r="A189" s="4">
        <v>188</v>
      </c>
      <c r="B189" s="4" t="s">
        <v>41</v>
      </c>
      <c r="C189" s="4" t="s">
        <v>12</v>
      </c>
      <c r="D189" s="4">
        <v>36989</v>
      </c>
      <c r="E189" s="4" t="s">
        <v>26</v>
      </c>
      <c r="F189" s="4" t="s">
        <v>32</v>
      </c>
      <c r="G189" s="4" t="s">
        <v>22</v>
      </c>
      <c r="H189" s="4">
        <v>3</v>
      </c>
      <c r="I189" s="4" t="s">
        <v>23</v>
      </c>
      <c r="J189" s="4" t="s">
        <v>28</v>
      </c>
      <c r="K189" s="4">
        <v>46</v>
      </c>
      <c r="L189" s="4" t="str">
        <f t="shared" si="2"/>
        <v>Middle Age</v>
      </c>
      <c r="M189" s="4" t="s">
        <v>15</v>
      </c>
    </row>
    <row r="190" spans="1:13" x14ac:dyDescent="0.3">
      <c r="A190" s="4">
        <v>189</v>
      </c>
      <c r="B190" s="4" t="s">
        <v>41</v>
      </c>
      <c r="C190" s="4" t="s">
        <v>12</v>
      </c>
      <c r="D190" s="4">
        <v>75201</v>
      </c>
      <c r="E190" s="4" t="s">
        <v>26</v>
      </c>
      <c r="F190" s="4" t="s">
        <v>14</v>
      </c>
      <c r="G190" s="4" t="s">
        <v>22</v>
      </c>
      <c r="H190" s="4">
        <v>1</v>
      </c>
      <c r="I190" s="4" t="s">
        <v>23</v>
      </c>
      <c r="J190" s="4" t="s">
        <v>34</v>
      </c>
      <c r="K190" s="4">
        <v>49</v>
      </c>
      <c r="L190" s="4" t="str">
        <f t="shared" si="2"/>
        <v>Middle Age</v>
      </c>
      <c r="M190" s="4" t="s">
        <v>15</v>
      </c>
    </row>
    <row r="191" spans="1:13" x14ac:dyDescent="0.3">
      <c r="A191" s="4">
        <v>190</v>
      </c>
      <c r="B191" s="4" t="s">
        <v>41</v>
      </c>
      <c r="C191" s="4" t="s">
        <v>19</v>
      </c>
      <c r="D191" s="4">
        <v>70444</v>
      </c>
      <c r="E191" s="4" t="s">
        <v>13</v>
      </c>
      <c r="F191" s="4" t="s">
        <v>14</v>
      </c>
      <c r="G191" s="4" t="s">
        <v>15</v>
      </c>
      <c r="H191" s="4">
        <v>3</v>
      </c>
      <c r="I191" s="4" t="s">
        <v>37</v>
      </c>
      <c r="J191" s="4" t="s">
        <v>17</v>
      </c>
      <c r="K191" s="4">
        <v>38</v>
      </c>
      <c r="L191" s="4" t="str">
        <f t="shared" si="2"/>
        <v>Middle Age</v>
      </c>
      <c r="M191" s="4" t="s">
        <v>15</v>
      </c>
    </row>
    <row r="192" spans="1:13" x14ac:dyDescent="0.3">
      <c r="A192" s="4">
        <v>191</v>
      </c>
      <c r="B192" s="4" t="s">
        <v>41</v>
      </c>
      <c r="C192" s="4" t="s">
        <v>12</v>
      </c>
      <c r="D192" s="4">
        <v>65472</v>
      </c>
      <c r="E192" s="4" t="s">
        <v>31</v>
      </c>
      <c r="F192" s="4" t="s">
        <v>36</v>
      </c>
      <c r="G192" s="4" t="s">
        <v>22</v>
      </c>
      <c r="H192" s="4">
        <v>2</v>
      </c>
      <c r="I192" s="4" t="s">
        <v>27</v>
      </c>
      <c r="J192" s="4" t="s">
        <v>17</v>
      </c>
      <c r="K192" s="4">
        <v>20</v>
      </c>
      <c r="L192" s="4" t="str">
        <f t="shared" si="2"/>
        <v>Adolescent</v>
      </c>
      <c r="M192" s="4" t="s">
        <v>15</v>
      </c>
    </row>
    <row r="193" spans="1:13" x14ac:dyDescent="0.3">
      <c r="A193" s="4">
        <v>192</v>
      </c>
      <c r="B193" s="4" t="s">
        <v>41</v>
      </c>
      <c r="C193" s="4" t="s">
        <v>19</v>
      </c>
      <c r="D193" s="4">
        <v>57925</v>
      </c>
      <c r="E193" s="4" t="s">
        <v>26</v>
      </c>
      <c r="F193" s="4" t="s">
        <v>32</v>
      </c>
      <c r="G193" s="4" t="s">
        <v>15</v>
      </c>
      <c r="H193" s="4">
        <v>0</v>
      </c>
      <c r="I193" s="4" t="s">
        <v>23</v>
      </c>
      <c r="J193" s="4" t="s">
        <v>34</v>
      </c>
      <c r="K193" s="4">
        <v>58</v>
      </c>
      <c r="L193" s="4" t="str">
        <f t="shared" si="2"/>
        <v>Old</v>
      </c>
      <c r="M193" s="4" t="s">
        <v>15</v>
      </c>
    </row>
    <row r="194" spans="1:13" x14ac:dyDescent="0.3">
      <c r="A194" s="4">
        <v>193</v>
      </c>
      <c r="B194" s="4" t="s">
        <v>41</v>
      </c>
      <c r="C194" s="4" t="s">
        <v>12</v>
      </c>
      <c r="D194" s="4">
        <v>46686</v>
      </c>
      <c r="E194" s="4" t="s">
        <v>13</v>
      </c>
      <c r="F194" s="4" t="s">
        <v>14</v>
      </c>
      <c r="G194" s="4" t="s">
        <v>22</v>
      </c>
      <c r="H194" s="4">
        <v>1</v>
      </c>
      <c r="I194" s="4" t="s">
        <v>37</v>
      </c>
      <c r="J194" s="4" t="s">
        <v>17</v>
      </c>
      <c r="K194" s="4">
        <v>34</v>
      </c>
      <c r="L194" s="4" t="str">
        <f t="shared" ref="L194:L257" si="3">IF(K194&gt;54,"Old",IF(K194&gt;31,"Middle Age",IF(K194&lt;31,"Adolescent","Invalid")))</f>
        <v>Middle Age</v>
      </c>
      <c r="M194" s="4" t="s">
        <v>15</v>
      </c>
    </row>
    <row r="195" spans="1:13" x14ac:dyDescent="0.3">
      <c r="A195" s="4">
        <v>194</v>
      </c>
      <c r="B195" s="4" t="s">
        <v>41</v>
      </c>
      <c r="C195" s="4" t="s">
        <v>12</v>
      </c>
      <c r="D195" s="4">
        <v>51554</v>
      </c>
      <c r="E195" s="4" t="s">
        <v>20</v>
      </c>
      <c r="F195" s="4" t="s">
        <v>36</v>
      </c>
      <c r="G195" s="4" t="s">
        <v>15</v>
      </c>
      <c r="H195" s="4">
        <v>1</v>
      </c>
      <c r="I195" s="4" t="s">
        <v>33</v>
      </c>
      <c r="J195" s="4" t="s">
        <v>24</v>
      </c>
      <c r="K195" s="4">
        <v>26</v>
      </c>
      <c r="L195" s="4" t="str">
        <f t="shared" si="3"/>
        <v>Adolescent</v>
      </c>
      <c r="M195" s="4" t="s">
        <v>15</v>
      </c>
    </row>
    <row r="196" spans="1:13" x14ac:dyDescent="0.3">
      <c r="A196" s="4">
        <v>195</v>
      </c>
      <c r="B196" s="4" t="s">
        <v>41</v>
      </c>
      <c r="C196" s="4" t="s">
        <v>12</v>
      </c>
      <c r="D196" s="4">
        <v>62685</v>
      </c>
      <c r="E196" s="4" t="s">
        <v>31</v>
      </c>
      <c r="F196" s="4" t="s">
        <v>32</v>
      </c>
      <c r="G196" s="4" t="s">
        <v>15</v>
      </c>
      <c r="H196" s="4">
        <v>0</v>
      </c>
      <c r="I196" s="4" t="s">
        <v>16</v>
      </c>
      <c r="J196" s="4" t="s">
        <v>34</v>
      </c>
      <c r="K196" s="4">
        <v>46</v>
      </c>
      <c r="L196" s="4" t="str">
        <f t="shared" si="3"/>
        <v>Middle Age</v>
      </c>
      <c r="M196" s="4" t="s">
        <v>15</v>
      </c>
    </row>
    <row r="197" spans="1:13" x14ac:dyDescent="0.3">
      <c r="A197" s="4">
        <v>196</v>
      </c>
      <c r="B197" s="4" t="s">
        <v>41</v>
      </c>
      <c r="C197" s="4" t="s">
        <v>19</v>
      </c>
      <c r="D197" s="4">
        <v>20437</v>
      </c>
      <c r="E197" s="4" t="s">
        <v>26</v>
      </c>
      <c r="F197" s="4" t="s">
        <v>14</v>
      </c>
      <c r="G197" s="4" t="s">
        <v>15</v>
      </c>
      <c r="H197" s="4">
        <v>1</v>
      </c>
      <c r="I197" s="4" t="s">
        <v>33</v>
      </c>
      <c r="J197" s="4" t="s">
        <v>17</v>
      </c>
      <c r="K197" s="4">
        <v>35</v>
      </c>
      <c r="L197" s="4" t="str">
        <f t="shared" si="3"/>
        <v>Middle Age</v>
      </c>
      <c r="M197" s="4" t="s">
        <v>15</v>
      </c>
    </row>
    <row r="198" spans="1:13" x14ac:dyDescent="0.3">
      <c r="A198" s="4">
        <v>197</v>
      </c>
      <c r="B198" s="4" t="s">
        <v>40</v>
      </c>
      <c r="C198" s="4" t="s">
        <v>19</v>
      </c>
      <c r="D198" s="4">
        <v>101014</v>
      </c>
      <c r="E198" s="4" t="s">
        <v>26</v>
      </c>
      <c r="F198" s="4" t="s">
        <v>21</v>
      </c>
      <c r="G198" s="4" t="s">
        <v>15</v>
      </c>
      <c r="H198" s="4">
        <v>2</v>
      </c>
      <c r="I198" s="4" t="s">
        <v>23</v>
      </c>
      <c r="J198" s="4" t="s">
        <v>24</v>
      </c>
      <c r="K198" s="4">
        <v>49</v>
      </c>
      <c r="L198" s="4" t="str">
        <f t="shared" si="3"/>
        <v>Middle Age</v>
      </c>
      <c r="M198" s="4" t="s">
        <v>15</v>
      </c>
    </row>
    <row r="199" spans="1:13" x14ac:dyDescent="0.3">
      <c r="A199" s="4">
        <v>198</v>
      </c>
      <c r="B199" s="4" t="s">
        <v>40</v>
      </c>
      <c r="C199" s="4" t="s">
        <v>12</v>
      </c>
      <c r="D199" s="4">
        <v>58754</v>
      </c>
      <c r="E199" s="4" t="s">
        <v>26</v>
      </c>
      <c r="F199" s="4" t="s">
        <v>14</v>
      </c>
      <c r="G199" s="4" t="s">
        <v>22</v>
      </c>
      <c r="H199" s="4">
        <v>3</v>
      </c>
      <c r="I199" s="4" t="s">
        <v>33</v>
      </c>
      <c r="J199" s="4" t="s">
        <v>28</v>
      </c>
      <c r="K199" s="4">
        <v>58</v>
      </c>
      <c r="L199" s="4" t="str">
        <f t="shared" si="3"/>
        <v>Old</v>
      </c>
      <c r="M199" s="4" t="s">
        <v>15</v>
      </c>
    </row>
    <row r="200" spans="1:13" x14ac:dyDescent="0.3">
      <c r="A200" s="4">
        <v>199</v>
      </c>
      <c r="B200" s="4" t="s">
        <v>40</v>
      </c>
      <c r="C200" s="4" t="s">
        <v>12</v>
      </c>
      <c r="D200" s="4">
        <v>61082</v>
      </c>
      <c r="E200" s="4" t="s">
        <v>26</v>
      </c>
      <c r="F200" s="4" t="s">
        <v>36</v>
      </c>
      <c r="G200" s="4" t="s">
        <v>15</v>
      </c>
      <c r="H200" s="4">
        <v>3</v>
      </c>
      <c r="I200" s="4" t="s">
        <v>16</v>
      </c>
      <c r="J200" s="4" t="s">
        <v>24</v>
      </c>
      <c r="K200" s="4">
        <v>43</v>
      </c>
      <c r="L200" s="4" t="str">
        <f t="shared" si="3"/>
        <v>Middle Age</v>
      </c>
      <c r="M200" s="4" t="s">
        <v>15</v>
      </c>
    </row>
    <row r="201" spans="1:13" x14ac:dyDescent="0.3">
      <c r="A201" s="4">
        <v>200</v>
      </c>
      <c r="B201" s="4" t="s">
        <v>40</v>
      </c>
      <c r="C201" s="4" t="s">
        <v>19</v>
      </c>
      <c r="D201" s="4">
        <v>34869</v>
      </c>
      <c r="E201" s="4" t="s">
        <v>31</v>
      </c>
      <c r="F201" s="4" t="s">
        <v>32</v>
      </c>
      <c r="G201" s="4" t="s">
        <v>15</v>
      </c>
      <c r="H201" s="4">
        <v>2</v>
      </c>
      <c r="I201" s="4" t="s">
        <v>23</v>
      </c>
      <c r="J201" s="4" t="s">
        <v>17</v>
      </c>
      <c r="K201" s="4">
        <v>46</v>
      </c>
      <c r="L201" s="4" t="str">
        <f t="shared" si="3"/>
        <v>Middle Age</v>
      </c>
      <c r="M201" s="4" t="s">
        <v>15</v>
      </c>
    </row>
    <row r="202" spans="1:13" x14ac:dyDescent="0.3">
      <c r="A202" s="4">
        <v>201</v>
      </c>
      <c r="B202" s="4" t="s">
        <v>40</v>
      </c>
      <c r="C202" s="4" t="s">
        <v>12</v>
      </c>
      <c r="D202" s="4">
        <v>48083</v>
      </c>
      <c r="E202" s="4" t="s">
        <v>13</v>
      </c>
      <c r="F202" s="4" t="s">
        <v>36</v>
      </c>
      <c r="G202" s="4" t="s">
        <v>22</v>
      </c>
      <c r="H202" s="4">
        <v>3</v>
      </c>
      <c r="I202" s="4" t="s">
        <v>27</v>
      </c>
      <c r="J202" s="4" t="s">
        <v>24</v>
      </c>
      <c r="K202" s="4">
        <v>49</v>
      </c>
      <c r="L202" s="4" t="str">
        <f t="shared" si="3"/>
        <v>Middle Age</v>
      </c>
      <c r="M202" s="4" t="s">
        <v>15</v>
      </c>
    </row>
    <row r="203" spans="1:13" x14ac:dyDescent="0.3">
      <c r="A203" s="4">
        <v>202</v>
      </c>
      <c r="B203" s="4" t="s">
        <v>40</v>
      </c>
      <c r="C203" s="4" t="s">
        <v>19</v>
      </c>
      <c r="D203" s="4">
        <v>70483</v>
      </c>
      <c r="E203" s="4" t="s">
        <v>20</v>
      </c>
      <c r="F203" s="4" t="s">
        <v>35</v>
      </c>
      <c r="G203" s="4" t="s">
        <v>22</v>
      </c>
      <c r="H203" s="4">
        <v>1</v>
      </c>
      <c r="I203" s="4" t="s">
        <v>33</v>
      </c>
      <c r="J203" s="4" t="s">
        <v>28</v>
      </c>
      <c r="K203" s="4">
        <v>45</v>
      </c>
      <c r="L203" s="4" t="str">
        <f t="shared" si="3"/>
        <v>Middle Age</v>
      </c>
      <c r="M203" s="4" t="s">
        <v>15</v>
      </c>
    </row>
    <row r="204" spans="1:13" x14ac:dyDescent="0.3">
      <c r="A204" s="4">
        <v>203</v>
      </c>
      <c r="B204" s="4" t="s">
        <v>40</v>
      </c>
      <c r="C204" s="4" t="s">
        <v>12</v>
      </c>
      <c r="D204" s="4">
        <v>70220</v>
      </c>
      <c r="E204" s="4" t="s">
        <v>13</v>
      </c>
      <c r="F204" s="4" t="s">
        <v>35</v>
      </c>
      <c r="G204" s="4" t="s">
        <v>15</v>
      </c>
      <c r="H204" s="4">
        <v>3</v>
      </c>
      <c r="I204" s="4" t="s">
        <v>23</v>
      </c>
      <c r="J204" s="4" t="s">
        <v>34</v>
      </c>
      <c r="K204" s="4">
        <v>30</v>
      </c>
      <c r="L204" s="4" t="str">
        <f t="shared" si="3"/>
        <v>Adolescent</v>
      </c>
      <c r="M204" s="4" t="s">
        <v>15</v>
      </c>
    </row>
    <row r="205" spans="1:13" x14ac:dyDescent="0.3">
      <c r="A205" s="4">
        <v>204</v>
      </c>
      <c r="B205" s="4" t="s">
        <v>40</v>
      </c>
      <c r="C205" s="4" t="s">
        <v>12</v>
      </c>
      <c r="D205" s="4">
        <v>119769</v>
      </c>
      <c r="E205" s="4" t="s">
        <v>26</v>
      </c>
      <c r="F205" s="4" t="s">
        <v>21</v>
      </c>
      <c r="G205" s="4" t="s">
        <v>15</v>
      </c>
      <c r="H205" s="4">
        <v>1</v>
      </c>
      <c r="I205" s="4" t="s">
        <v>16</v>
      </c>
      <c r="J205" s="4" t="s">
        <v>24</v>
      </c>
      <c r="K205" s="4">
        <v>48</v>
      </c>
      <c r="L205" s="4" t="str">
        <f t="shared" si="3"/>
        <v>Middle Age</v>
      </c>
      <c r="M205" s="4" t="s">
        <v>15</v>
      </c>
    </row>
    <row r="206" spans="1:13" x14ac:dyDescent="0.3">
      <c r="A206" s="4">
        <v>205</v>
      </c>
      <c r="B206" s="4" t="s">
        <v>40</v>
      </c>
      <c r="C206" s="4" t="s">
        <v>19</v>
      </c>
      <c r="D206" s="4">
        <v>103452</v>
      </c>
      <c r="E206" s="4" t="s">
        <v>20</v>
      </c>
      <c r="F206" s="4" t="s">
        <v>14</v>
      </c>
      <c r="G206" s="4" t="s">
        <v>15</v>
      </c>
      <c r="H206" s="4">
        <v>1</v>
      </c>
      <c r="I206" s="4" t="s">
        <v>37</v>
      </c>
      <c r="J206" s="4" t="s">
        <v>17</v>
      </c>
      <c r="K206" s="4">
        <v>41</v>
      </c>
      <c r="L206" s="4" t="str">
        <f t="shared" si="3"/>
        <v>Middle Age</v>
      </c>
      <c r="M206" s="4" t="s">
        <v>22</v>
      </c>
    </row>
    <row r="207" spans="1:13" x14ac:dyDescent="0.3">
      <c r="A207" s="4">
        <v>206</v>
      </c>
      <c r="B207" s="4" t="s">
        <v>40</v>
      </c>
      <c r="C207" s="4" t="s">
        <v>12</v>
      </c>
      <c r="D207" s="4">
        <v>22692</v>
      </c>
      <c r="E207" s="4" t="s">
        <v>20</v>
      </c>
      <c r="F207" s="4" t="s">
        <v>14</v>
      </c>
      <c r="G207" s="4" t="s">
        <v>15</v>
      </c>
      <c r="H207" s="4">
        <v>0</v>
      </c>
      <c r="I207" s="4" t="s">
        <v>16</v>
      </c>
      <c r="J207" s="4" t="s">
        <v>34</v>
      </c>
      <c r="K207" s="4">
        <v>38</v>
      </c>
      <c r="L207" s="4" t="str">
        <f t="shared" si="3"/>
        <v>Middle Age</v>
      </c>
      <c r="M207" s="4" t="s">
        <v>15</v>
      </c>
    </row>
    <row r="208" spans="1:13" x14ac:dyDescent="0.3">
      <c r="A208" s="4">
        <v>207</v>
      </c>
      <c r="B208" s="4" t="s">
        <v>40</v>
      </c>
      <c r="C208" s="4" t="s">
        <v>19</v>
      </c>
      <c r="D208" s="4">
        <v>45598</v>
      </c>
      <c r="E208" s="4" t="s">
        <v>31</v>
      </c>
      <c r="F208" s="4" t="s">
        <v>32</v>
      </c>
      <c r="G208" s="4" t="s">
        <v>15</v>
      </c>
      <c r="H208" s="4">
        <v>3</v>
      </c>
      <c r="I208" s="4" t="s">
        <v>33</v>
      </c>
      <c r="J208" s="4" t="s">
        <v>28</v>
      </c>
      <c r="K208" s="4">
        <v>29</v>
      </c>
      <c r="L208" s="4" t="str">
        <f t="shared" si="3"/>
        <v>Adolescent</v>
      </c>
      <c r="M208" s="4" t="s">
        <v>15</v>
      </c>
    </row>
    <row r="209" spans="1:13" x14ac:dyDescent="0.3">
      <c r="A209" s="4">
        <v>208</v>
      </c>
      <c r="B209" s="4" t="s">
        <v>40</v>
      </c>
      <c r="C209" s="4" t="s">
        <v>19</v>
      </c>
      <c r="D209" s="4">
        <v>52257</v>
      </c>
      <c r="E209" s="4" t="s">
        <v>13</v>
      </c>
      <c r="F209" s="4" t="s">
        <v>36</v>
      </c>
      <c r="G209" s="4" t="s">
        <v>15</v>
      </c>
      <c r="H209" s="4">
        <v>0</v>
      </c>
      <c r="I209" s="4" t="s">
        <v>23</v>
      </c>
      <c r="J209" s="4" t="s">
        <v>17</v>
      </c>
      <c r="K209" s="4">
        <v>40</v>
      </c>
      <c r="L209" s="4" t="str">
        <f t="shared" si="3"/>
        <v>Middle Age</v>
      </c>
      <c r="M209" s="4" t="s">
        <v>15</v>
      </c>
    </row>
    <row r="210" spans="1:13" x14ac:dyDescent="0.3">
      <c r="A210" s="4">
        <v>209</v>
      </c>
      <c r="B210" s="4" t="s">
        <v>40</v>
      </c>
      <c r="C210" s="4" t="s">
        <v>19</v>
      </c>
      <c r="D210" s="4">
        <v>29122</v>
      </c>
      <c r="E210" s="4" t="s">
        <v>13</v>
      </c>
      <c r="F210" s="4" t="s">
        <v>35</v>
      </c>
      <c r="G210" s="4" t="s">
        <v>15</v>
      </c>
      <c r="H210" s="4">
        <v>0</v>
      </c>
      <c r="I210" s="4" t="s">
        <v>37</v>
      </c>
      <c r="J210" s="4" t="s">
        <v>28</v>
      </c>
      <c r="K210" s="4">
        <v>49</v>
      </c>
      <c r="L210" s="4" t="str">
        <f t="shared" si="3"/>
        <v>Middle Age</v>
      </c>
      <c r="M210" s="4" t="s">
        <v>15</v>
      </c>
    </row>
    <row r="211" spans="1:13" x14ac:dyDescent="0.3">
      <c r="A211" s="4">
        <v>210</v>
      </c>
      <c r="B211" s="4" t="s">
        <v>40</v>
      </c>
      <c r="C211" s="4" t="s">
        <v>19</v>
      </c>
      <c r="D211" s="4">
        <v>102823</v>
      </c>
      <c r="E211" s="4" t="s">
        <v>31</v>
      </c>
      <c r="F211" s="4" t="s">
        <v>21</v>
      </c>
      <c r="G211" s="4" t="s">
        <v>22</v>
      </c>
      <c r="H211" s="4">
        <v>0</v>
      </c>
      <c r="I211" s="4" t="s">
        <v>23</v>
      </c>
      <c r="J211" s="4" t="s">
        <v>24</v>
      </c>
      <c r="K211" s="4">
        <v>56</v>
      </c>
      <c r="L211" s="4" t="str">
        <f t="shared" si="3"/>
        <v>Old</v>
      </c>
      <c r="M211" s="4" t="s">
        <v>15</v>
      </c>
    </row>
    <row r="212" spans="1:13" x14ac:dyDescent="0.3">
      <c r="A212" s="4">
        <v>211</v>
      </c>
      <c r="B212" s="4" t="s">
        <v>40</v>
      </c>
      <c r="C212" s="4" t="s">
        <v>19</v>
      </c>
      <c r="D212" s="4">
        <v>115982</v>
      </c>
      <c r="E212" s="4" t="s">
        <v>13</v>
      </c>
      <c r="F212" s="4" t="s">
        <v>36</v>
      </c>
      <c r="G212" s="4" t="s">
        <v>22</v>
      </c>
      <c r="H212" s="4">
        <v>2</v>
      </c>
      <c r="I212" s="4" t="s">
        <v>27</v>
      </c>
      <c r="J212" s="4" t="s">
        <v>17</v>
      </c>
      <c r="K212" s="4">
        <v>41</v>
      </c>
      <c r="L212" s="4" t="str">
        <f t="shared" si="3"/>
        <v>Middle Age</v>
      </c>
      <c r="M212" s="4" t="s">
        <v>15</v>
      </c>
    </row>
    <row r="213" spans="1:13" x14ac:dyDescent="0.3">
      <c r="A213" s="4">
        <v>212</v>
      </c>
      <c r="B213" s="4" t="s">
        <v>40</v>
      </c>
      <c r="C213" s="4" t="s">
        <v>19</v>
      </c>
      <c r="D213" s="4">
        <v>25067</v>
      </c>
      <c r="E213" s="4" t="s">
        <v>20</v>
      </c>
      <c r="F213" s="4" t="s">
        <v>36</v>
      </c>
      <c r="G213" s="4" t="s">
        <v>15</v>
      </c>
      <c r="H213" s="4">
        <v>3</v>
      </c>
      <c r="I213" s="4" t="s">
        <v>16</v>
      </c>
      <c r="J213" s="4" t="s">
        <v>34</v>
      </c>
      <c r="K213" s="4">
        <v>52</v>
      </c>
      <c r="L213" s="4" t="str">
        <f t="shared" si="3"/>
        <v>Middle Age</v>
      </c>
      <c r="M213" s="4" t="s">
        <v>15</v>
      </c>
    </row>
    <row r="214" spans="1:13" x14ac:dyDescent="0.3">
      <c r="A214" s="4">
        <v>213</v>
      </c>
      <c r="B214" s="4" t="s">
        <v>41</v>
      </c>
      <c r="C214" s="4" t="s">
        <v>12</v>
      </c>
      <c r="D214" s="4">
        <v>21549</v>
      </c>
      <c r="E214" s="4" t="s">
        <v>26</v>
      </c>
      <c r="F214" s="4" t="s">
        <v>21</v>
      </c>
      <c r="G214" s="4" t="s">
        <v>15</v>
      </c>
      <c r="H214" s="4">
        <v>2</v>
      </c>
      <c r="I214" s="4" t="s">
        <v>23</v>
      </c>
      <c r="J214" s="4" t="s">
        <v>24</v>
      </c>
      <c r="K214" s="4">
        <v>60</v>
      </c>
      <c r="L214" s="4" t="str">
        <f t="shared" si="3"/>
        <v>Old</v>
      </c>
      <c r="M214" s="4" t="s">
        <v>15</v>
      </c>
    </row>
    <row r="215" spans="1:13" x14ac:dyDescent="0.3">
      <c r="A215" s="4">
        <v>214</v>
      </c>
      <c r="B215" s="4" t="s">
        <v>41</v>
      </c>
      <c r="C215" s="4" t="s">
        <v>19</v>
      </c>
      <c r="D215" s="4">
        <v>77394</v>
      </c>
      <c r="E215" s="4" t="s">
        <v>26</v>
      </c>
      <c r="F215" s="4" t="s">
        <v>35</v>
      </c>
      <c r="G215" s="4" t="s">
        <v>15</v>
      </c>
      <c r="H215" s="4">
        <v>1</v>
      </c>
      <c r="I215" s="4" t="s">
        <v>33</v>
      </c>
      <c r="J215" s="4" t="s">
        <v>34</v>
      </c>
      <c r="K215" s="4">
        <v>27</v>
      </c>
      <c r="L215" s="4" t="str">
        <f t="shared" si="3"/>
        <v>Adolescent</v>
      </c>
      <c r="M215" s="4" t="s">
        <v>15</v>
      </c>
    </row>
    <row r="216" spans="1:13" x14ac:dyDescent="0.3">
      <c r="A216" s="4">
        <v>215</v>
      </c>
      <c r="B216" s="4" t="s">
        <v>41</v>
      </c>
      <c r="C216" s="4" t="s">
        <v>19</v>
      </c>
      <c r="D216" s="4">
        <v>111613</v>
      </c>
      <c r="E216" s="4" t="s">
        <v>20</v>
      </c>
      <c r="F216" s="4" t="s">
        <v>21</v>
      </c>
      <c r="G216" s="4" t="s">
        <v>15</v>
      </c>
      <c r="H216" s="4">
        <v>3</v>
      </c>
      <c r="I216" s="4" t="s">
        <v>16</v>
      </c>
      <c r="J216" s="4" t="s">
        <v>34</v>
      </c>
      <c r="K216" s="4">
        <v>49</v>
      </c>
      <c r="L216" s="4" t="str">
        <f t="shared" si="3"/>
        <v>Middle Age</v>
      </c>
      <c r="M216" s="4" t="s">
        <v>15</v>
      </c>
    </row>
    <row r="217" spans="1:13" x14ac:dyDescent="0.3">
      <c r="A217" s="4">
        <v>216</v>
      </c>
      <c r="B217" s="4" t="s">
        <v>41</v>
      </c>
      <c r="C217" s="4" t="s">
        <v>19</v>
      </c>
      <c r="D217" s="4">
        <v>43386</v>
      </c>
      <c r="E217" s="4" t="s">
        <v>20</v>
      </c>
      <c r="F217" s="4" t="s">
        <v>35</v>
      </c>
      <c r="G217" s="4" t="s">
        <v>22</v>
      </c>
      <c r="H217" s="4">
        <v>3</v>
      </c>
      <c r="I217" s="4" t="s">
        <v>37</v>
      </c>
      <c r="J217" s="4" t="s">
        <v>28</v>
      </c>
      <c r="K217" s="4">
        <v>20</v>
      </c>
      <c r="L217" s="4" t="str">
        <f t="shared" si="3"/>
        <v>Adolescent</v>
      </c>
      <c r="M217" s="4" t="s">
        <v>15</v>
      </c>
    </row>
    <row r="218" spans="1:13" x14ac:dyDescent="0.3">
      <c r="A218" s="4">
        <v>217</v>
      </c>
      <c r="B218" s="4" t="s">
        <v>41</v>
      </c>
      <c r="C218" s="4" t="s">
        <v>12</v>
      </c>
      <c r="D218" s="4">
        <v>95989</v>
      </c>
      <c r="E218" s="4" t="s">
        <v>13</v>
      </c>
      <c r="F218" s="4" t="s">
        <v>21</v>
      </c>
      <c r="G218" s="4" t="s">
        <v>22</v>
      </c>
      <c r="H218" s="4">
        <v>1</v>
      </c>
      <c r="I218" s="4" t="s">
        <v>27</v>
      </c>
      <c r="J218" s="4" t="s">
        <v>34</v>
      </c>
      <c r="K218" s="4">
        <v>19</v>
      </c>
      <c r="L218" s="4" t="str">
        <f t="shared" si="3"/>
        <v>Adolescent</v>
      </c>
      <c r="M218" s="4" t="s">
        <v>15</v>
      </c>
    </row>
    <row r="219" spans="1:13" x14ac:dyDescent="0.3">
      <c r="A219" s="4">
        <v>218</v>
      </c>
      <c r="B219" s="4" t="s">
        <v>41</v>
      </c>
      <c r="C219" s="4" t="s">
        <v>19</v>
      </c>
      <c r="D219" s="4">
        <v>29788</v>
      </c>
      <c r="E219" s="4" t="s">
        <v>31</v>
      </c>
      <c r="F219" s="4" t="s">
        <v>21</v>
      </c>
      <c r="G219" s="4" t="s">
        <v>22</v>
      </c>
      <c r="H219" s="4">
        <v>1</v>
      </c>
      <c r="I219" s="4" t="s">
        <v>16</v>
      </c>
      <c r="J219" s="4" t="s">
        <v>24</v>
      </c>
      <c r="K219" s="4">
        <v>28</v>
      </c>
      <c r="L219" s="4" t="str">
        <f t="shared" si="3"/>
        <v>Adolescent</v>
      </c>
      <c r="M219" s="4" t="s">
        <v>15</v>
      </c>
    </row>
    <row r="220" spans="1:13" x14ac:dyDescent="0.3">
      <c r="A220" s="4">
        <v>219</v>
      </c>
      <c r="B220" s="4" t="s">
        <v>41</v>
      </c>
      <c r="C220" s="4" t="s">
        <v>19</v>
      </c>
      <c r="D220" s="4">
        <v>88695</v>
      </c>
      <c r="E220" s="4" t="s">
        <v>20</v>
      </c>
      <c r="F220" s="4" t="s">
        <v>32</v>
      </c>
      <c r="G220" s="4" t="s">
        <v>22</v>
      </c>
      <c r="H220" s="4">
        <v>2</v>
      </c>
      <c r="I220" s="4" t="s">
        <v>23</v>
      </c>
      <c r="J220" s="4" t="s">
        <v>34</v>
      </c>
      <c r="K220" s="4">
        <v>22</v>
      </c>
      <c r="L220" s="4" t="str">
        <f t="shared" si="3"/>
        <v>Adolescent</v>
      </c>
      <c r="M220" s="4" t="s">
        <v>15</v>
      </c>
    </row>
    <row r="221" spans="1:13" x14ac:dyDescent="0.3">
      <c r="A221" s="4">
        <v>220</v>
      </c>
      <c r="B221" s="4" t="s">
        <v>41</v>
      </c>
      <c r="C221" s="4" t="s">
        <v>12</v>
      </c>
      <c r="D221" s="4">
        <v>117365</v>
      </c>
      <c r="E221" s="4" t="s">
        <v>13</v>
      </c>
      <c r="F221" s="4" t="s">
        <v>14</v>
      </c>
      <c r="G221" s="4" t="s">
        <v>15</v>
      </c>
      <c r="H221" s="4">
        <v>3</v>
      </c>
      <c r="I221" s="4" t="s">
        <v>27</v>
      </c>
      <c r="J221" s="4" t="s">
        <v>17</v>
      </c>
      <c r="K221" s="4">
        <v>28</v>
      </c>
      <c r="L221" s="4" t="str">
        <f t="shared" si="3"/>
        <v>Adolescent</v>
      </c>
      <c r="M221" s="4" t="s">
        <v>15</v>
      </c>
    </row>
    <row r="222" spans="1:13" x14ac:dyDescent="0.3">
      <c r="A222" s="4">
        <v>221</v>
      </c>
      <c r="B222" s="4" t="s">
        <v>41</v>
      </c>
      <c r="C222" s="4" t="s">
        <v>12</v>
      </c>
      <c r="D222" s="4">
        <v>83912</v>
      </c>
      <c r="E222" s="4" t="s">
        <v>26</v>
      </c>
      <c r="F222" s="4" t="s">
        <v>21</v>
      </c>
      <c r="G222" s="4" t="s">
        <v>15</v>
      </c>
      <c r="H222" s="4">
        <v>2</v>
      </c>
      <c r="I222" s="4" t="s">
        <v>23</v>
      </c>
      <c r="J222" s="4" t="s">
        <v>34</v>
      </c>
      <c r="K222" s="4">
        <v>34</v>
      </c>
      <c r="L222" s="4" t="str">
        <f t="shared" si="3"/>
        <v>Middle Age</v>
      </c>
      <c r="M222" s="4" t="s">
        <v>22</v>
      </c>
    </row>
    <row r="223" spans="1:13" x14ac:dyDescent="0.3">
      <c r="A223" s="4">
        <v>222</v>
      </c>
      <c r="B223" s="4" t="s">
        <v>41</v>
      </c>
      <c r="C223" s="4" t="s">
        <v>19</v>
      </c>
      <c r="D223" s="4">
        <v>79756</v>
      </c>
      <c r="E223" s="4" t="s">
        <v>31</v>
      </c>
      <c r="F223" s="4" t="s">
        <v>32</v>
      </c>
      <c r="G223" s="4" t="s">
        <v>15</v>
      </c>
      <c r="H223" s="4">
        <v>0</v>
      </c>
      <c r="I223" s="4" t="s">
        <v>27</v>
      </c>
      <c r="J223" s="4" t="s">
        <v>34</v>
      </c>
      <c r="K223" s="4">
        <v>60</v>
      </c>
      <c r="L223" s="4" t="str">
        <f t="shared" si="3"/>
        <v>Old</v>
      </c>
      <c r="M223" s="4" t="s">
        <v>15</v>
      </c>
    </row>
    <row r="224" spans="1:13" x14ac:dyDescent="0.3">
      <c r="A224" s="4">
        <v>223</v>
      </c>
      <c r="B224" s="4" t="s">
        <v>41</v>
      </c>
      <c r="C224" s="4" t="s">
        <v>19</v>
      </c>
      <c r="D224" s="4">
        <v>117257</v>
      </c>
      <c r="E224" s="4" t="s">
        <v>13</v>
      </c>
      <c r="F224" s="4" t="s">
        <v>35</v>
      </c>
      <c r="G224" s="4" t="s">
        <v>22</v>
      </c>
      <c r="H224" s="4">
        <v>3</v>
      </c>
      <c r="I224" s="4" t="s">
        <v>27</v>
      </c>
      <c r="J224" s="4" t="s">
        <v>34</v>
      </c>
      <c r="K224" s="4">
        <v>35</v>
      </c>
      <c r="L224" s="4" t="str">
        <f t="shared" si="3"/>
        <v>Middle Age</v>
      </c>
      <c r="M224" s="4" t="s">
        <v>15</v>
      </c>
    </row>
    <row r="225" spans="1:13" x14ac:dyDescent="0.3">
      <c r="A225" s="4">
        <v>224</v>
      </c>
      <c r="B225" s="4" t="s">
        <v>41</v>
      </c>
      <c r="C225" s="4" t="s">
        <v>19</v>
      </c>
      <c r="D225" s="4">
        <v>109079</v>
      </c>
      <c r="E225" s="4" t="s">
        <v>13</v>
      </c>
      <c r="F225" s="4" t="s">
        <v>21</v>
      </c>
      <c r="G225" s="4" t="s">
        <v>15</v>
      </c>
      <c r="H225" s="4">
        <v>1</v>
      </c>
      <c r="I225" s="4" t="s">
        <v>23</v>
      </c>
      <c r="J225" s="4" t="s">
        <v>17</v>
      </c>
      <c r="K225" s="4">
        <v>39</v>
      </c>
      <c r="L225" s="4" t="str">
        <f t="shared" si="3"/>
        <v>Middle Age</v>
      </c>
      <c r="M225" s="4" t="s">
        <v>22</v>
      </c>
    </row>
    <row r="226" spans="1:13" x14ac:dyDescent="0.3">
      <c r="A226" s="4">
        <v>225</v>
      </c>
      <c r="B226" s="4" t="s">
        <v>41</v>
      </c>
      <c r="C226" s="4" t="s">
        <v>12</v>
      </c>
      <c r="D226" s="4">
        <v>100412</v>
      </c>
      <c r="E226" s="4" t="s">
        <v>31</v>
      </c>
      <c r="F226" s="4" t="s">
        <v>21</v>
      </c>
      <c r="G226" s="4" t="s">
        <v>15</v>
      </c>
      <c r="H226" s="4">
        <v>1</v>
      </c>
      <c r="I226" s="4" t="s">
        <v>33</v>
      </c>
      <c r="J226" s="4" t="s">
        <v>28</v>
      </c>
      <c r="K226" s="4">
        <v>44</v>
      </c>
      <c r="L226" s="4" t="str">
        <f t="shared" si="3"/>
        <v>Middle Age</v>
      </c>
      <c r="M226" s="4" t="s">
        <v>15</v>
      </c>
    </row>
    <row r="227" spans="1:13" x14ac:dyDescent="0.3">
      <c r="A227" s="4">
        <v>226</v>
      </c>
      <c r="B227" s="4" t="s">
        <v>41</v>
      </c>
      <c r="C227" s="4" t="s">
        <v>12</v>
      </c>
      <c r="D227" s="4">
        <v>60901</v>
      </c>
      <c r="E227" s="4" t="s">
        <v>31</v>
      </c>
      <c r="F227" s="4" t="s">
        <v>14</v>
      </c>
      <c r="G227" s="4" t="s">
        <v>15</v>
      </c>
      <c r="H227" s="4">
        <v>2</v>
      </c>
      <c r="I227" s="4" t="s">
        <v>27</v>
      </c>
      <c r="J227" s="4" t="s">
        <v>34</v>
      </c>
      <c r="K227" s="4">
        <v>19</v>
      </c>
      <c r="L227" s="4" t="str">
        <f t="shared" si="3"/>
        <v>Adolescent</v>
      </c>
      <c r="M227" s="4" t="s">
        <v>22</v>
      </c>
    </row>
    <row r="228" spans="1:13" x14ac:dyDescent="0.3">
      <c r="A228" s="4">
        <v>227</v>
      </c>
      <c r="B228" s="4" t="s">
        <v>41</v>
      </c>
      <c r="C228" s="4" t="s">
        <v>19</v>
      </c>
      <c r="D228" s="4">
        <v>42427</v>
      </c>
      <c r="E228" s="4" t="s">
        <v>26</v>
      </c>
      <c r="F228" s="4" t="s">
        <v>32</v>
      </c>
      <c r="G228" s="4" t="s">
        <v>22</v>
      </c>
      <c r="H228" s="4">
        <v>2</v>
      </c>
      <c r="I228" s="4" t="s">
        <v>33</v>
      </c>
      <c r="J228" s="4" t="s">
        <v>24</v>
      </c>
      <c r="K228" s="4">
        <v>29</v>
      </c>
      <c r="L228" s="4" t="str">
        <f t="shared" si="3"/>
        <v>Adolescent</v>
      </c>
      <c r="M228" s="4" t="s">
        <v>15</v>
      </c>
    </row>
    <row r="229" spans="1:13" x14ac:dyDescent="0.3">
      <c r="A229" s="4">
        <v>228</v>
      </c>
      <c r="B229" s="4" t="s">
        <v>41</v>
      </c>
      <c r="C229" s="4" t="s">
        <v>12</v>
      </c>
      <c r="D229" s="4">
        <v>25203</v>
      </c>
      <c r="E229" s="4" t="s">
        <v>31</v>
      </c>
      <c r="F229" s="4" t="s">
        <v>14</v>
      </c>
      <c r="G229" s="4" t="s">
        <v>22</v>
      </c>
      <c r="H229" s="4">
        <v>0</v>
      </c>
      <c r="I229" s="4" t="s">
        <v>16</v>
      </c>
      <c r="J229" s="4" t="s">
        <v>28</v>
      </c>
      <c r="K229" s="4">
        <v>60</v>
      </c>
      <c r="L229" s="4" t="str">
        <f t="shared" si="3"/>
        <v>Old</v>
      </c>
      <c r="M229" s="4" t="s">
        <v>15</v>
      </c>
    </row>
    <row r="230" spans="1:13" x14ac:dyDescent="0.3">
      <c r="A230" s="4">
        <v>229</v>
      </c>
      <c r="B230" s="4" t="s">
        <v>41</v>
      </c>
      <c r="C230" s="4" t="s">
        <v>19</v>
      </c>
      <c r="D230" s="4">
        <v>28610</v>
      </c>
      <c r="E230" s="4" t="s">
        <v>26</v>
      </c>
      <c r="F230" s="4" t="s">
        <v>32</v>
      </c>
      <c r="G230" s="4" t="s">
        <v>22</v>
      </c>
      <c r="H230" s="4">
        <v>2</v>
      </c>
      <c r="I230" s="4" t="s">
        <v>37</v>
      </c>
      <c r="J230" s="4" t="s">
        <v>17</v>
      </c>
      <c r="K230" s="4">
        <v>21</v>
      </c>
      <c r="L230" s="4" t="str">
        <f t="shared" si="3"/>
        <v>Adolescent</v>
      </c>
      <c r="M230" s="4" t="s">
        <v>15</v>
      </c>
    </row>
    <row r="231" spans="1:13" x14ac:dyDescent="0.3">
      <c r="A231" s="4">
        <v>230</v>
      </c>
      <c r="B231" s="4" t="s">
        <v>41</v>
      </c>
      <c r="C231" s="4" t="s">
        <v>19</v>
      </c>
      <c r="D231" s="4">
        <v>33936</v>
      </c>
      <c r="E231" s="4" t="s">
        <v>31</v>
      </c>
      <c r="F231" s="4" t="s">
        <v>14</v>
      </c>
      <c r="G231" s="4" t="s">
        <v>22</v>
      </c>
      <c r="H231" s="4">
        <v>2</v>
      </c>
      <c r="I231" s="4" t="s">
        <v>23</v>
      </c>
      <c r="J231" s="4" t="s">
        <v>28</v>
      </c>
      <c r="K231" s="4">
        <v>36</v>
      </c>
      <c r="L231" s="4" t="str">
        <f t="shared" si="3"/>
        <v>Middle Age</v>
      </c>
      <c r="M231" s="4" t="s">
        <v>15</v>
      </c>
    </row>
    <row r="232" spans="1:13" x14ac:dyDescent="0.3">
      <c r="A232" s="4">
        <v>231</v>
      </c>
      <c r="B232" s="4" t="s">
        <v>41</v>
      </c>
      <c r="C232" s="4" t="s">
        <v>12</v>
      </c>
      <c r="D232" s="4">
        <v>67740</v>
      </c>
      <c r="E232" s="4" t="s">
        <v>31</v>
      </c>
      <c r="F232" s="4" t="s">
        <v>36</v>
      </c>
      <c r="G232" s="4" t="s">
        <v>15</v>
      </c>
      <c r="H232" s="4">
        <v>0</v>
      </c>
      <c r="I232" s="4" t="s">
        <v>37</v>
      </c>
      <c r="J232" s="4" t="s">
        <v>24</v>
      </c>
      <c r="K232" s="4">
        <v>56</v>
      </c>
      <c r="L232" s="4" t="str">
        <f t="shared" si="3"/>
        <v>Old</v>
      </c>
      <c r="M232" s="4" t="s">
        <v>15</v>
      </c>
    </row>
    <row r="233" spans="1:13" x14ac:dyDescent="0.3">
      <c r="A233" s="4">
        <v>232</v>
      </c>
      <c r="B233" s="4" t="s">
        <v>41</v>
      </c>
      <c r="C233" s="4" t="s">
        <v>19</v>
      </c>
      <c r="D233" s="4">
        <v>95694</v>
      </c>
      <c r="E233" s="4" t="s">
        <v>31</v>
      </c>
      <c r="F233" s="4" t="s">
        <v>36</v>
      </c>
      <c r="G233" s="4" t="s">
        <v>22</v>
      </c>
      <c r="H233" s="4">
        <v>0</v>
      </c>
      <c r="I233" s="4" t="s">
        <v>23</v>
      </c>
      <c r="J233" s="4" t="s">
        <v>17</v>
      </c>
      <c r="K233" s="4">
        <v>56</v>
      </c>
      <c r="L233" s="4" t="str">
        <f t="shared" si="3"/>
        <v>Old</v>
      </c>
      <c r="M233" s="4" t="s">
        <v>15</v>
      </c>
    </row>
    <row r="234" spans="1:13" x14ac:dyDescent="0.3">
      <c r="A234" s="4">
        <v>233</v>
      </c>
      <c r="B234" s="4" t="s">
        <v>41</v>
      </c>
      <c r="C234" s="4" t="s">
        <v>12</v>
      </c>
      <c r="D234" s="4">
        <v>111341</v>
      </c>
      <c r="E234" s="4" t="s">
        <v>31</v>
      </c>
      <c r="F234" s="4" t="s">
        <v>21</v>
      </c>
      <c r="G234" s="4" t="s">
        <v>15</v>
      </c>
      <c r="H234" s="4">
        <v>3</v>
      </c>
      <c r="I234" s="4" t="s">
        <v>16</v>
      </c>
      <c r="J234" s="4" t="s">
        <v>17</v>
      </c>
      <c r="K234" s="4">
        <v>45</v>
      </c>
      <c r="L234" s="4" t="str">
        <f t="shared" si="3"/>
        <v>Middle Age</v>
      </c>
      <c r="M234" s="4" t="s">
        <v>15</v>
      </c>
    </row>
    <row r="235" spans="1:13" x14ac:dyDescent="0.3">
      <c r="A235" s="4">
        <v>234</v>
      </c>
      <c r="B235" s="4" t="s">
        <v>41</v>
      </c>
      <c r="C235" s="4" t="s">
        <v>19</v>
      </c>
      <c r="D235" s="4">
        <v>84850</v>
      </c>
      <c r="E235" s="4" t="s">
        <v>26</v>
      </c>
      <c r="F235" s="4" t="s">
        <v>32</v>
      </c>
      <c r="G235" s="4" t="s">
        <v>22</v>
      </c>
      <c r="H235" s="4">
        <v>0</v>
      </c>
      <c r="I235" s="4" t="s">
        <v>23</v>
      </c>
      <c r="J235" s="4" t="s">
        <v>34</v>
      </c>
      <c r="K235" s="4">
        <v>50</v>
      </c>
      <c r="L235" s="4" t="str">
        <f t="shared" si="3"/>
        <v>Middle Age</v>
      </c>
      <c r="M235" s="4" t="s">
        <v>15</v>
      </c>
    </row>
    <row r="236" spans="1:13" x14ac:dyDescent="0.3">
      <c r="A236" s="4">
        <v>235</v>
      </c>
      <c r="B236" s="4" t="s">
        <v>41</v>
      </c>
      <c r="C236" s="4" t="s">
        <v>12</v>
      </c>
      <c r="D236" s="4">
        <v>73284</v>
      </c>
      <c r="E236" s="4" t="s">
        <v>20</v>
      </c>
      <c r="F236" s="4" t="s">
        <v>35</v>
      </c>
      <c r="G236" s="4" t="s">
        <v>15</v>
      </c>
      <c r="H236" s="4">
        <v>2</v>
      </c>
      <c r="I236" s="4" t="s">
        <v>37</v>
      </c>
      <c r="J236" s="4" t="s">
        <v>24</v>
      </c>
      <c r="K236" s="4">
        <v>30</v>
      </c>
      <c r="L236" s="4" t="str">
        <f t="shared" si="3"/>
        <v>Adolescent</v>
      </c>
      <c r="M236" s="4" t="s">
        <v>22</v>
      </c>
    </row>
    <row r="237" spans="1:13" x14ac:dyDescent="0.3">
      <c r="A237" s="4">
        <v>236</v>
      </c>
      <c r="B237" s="4" t="s">
        <v>41</v>
      </c>
      <c r="C237" s="4" t="s">
        <v>19</v>
      </c>
      <c r="D237" s="4">
        <v>75344</v>
      </c>
      <c r="E237" s="4" t="s">
        <v>13</v>
      </c>
      <c r="F237" s="4" t="s">
        <v>21</v>
      </c>
      <c r="G237" s="4" t="s">
        <v>22</v>
      </c>
      <c r="H237" s="4">
        <v>1</v>
      </c>
      <c r="I237" s="4" t="s">
        <v>27</v>
      </c>
      <c r="J237" s="4" t="s">
        <v>28</v>
      </c>
      <c r="K237" s="4">
        <v>24</v>
      </c>
      <c r="L237" s="4" t="str">
        <f t="shared" si="3"/>
        <v>Adolescent</v>
      </c>
      <c r="M237" s="4" t="s">
        <v>22</v>
      </c>
    </row>
    <row r="238" spans="1:13" x14ac:dyDescent="0.3">
      <c r="A238" s="4">
        <v>237</v>
      </c>
      <c r="B238" s="4" t="s">
        <v>41</v>
      </c>
      <c r="C238" s="4" t="s">
        <v>19</v>
      </c>
      <c r="D238" s="4">
        <v>71688</v>
      </c>
      <c r="E238" s="4" t="s">
        <v>31</v>
      </c>
      <c r="F238" s="4" t="s">
        <v>35</v>
      </c>
      <c r="G238" s="4" t="s">
        <v>22</v>
      </c>
      <c r="H238" s="4">
        <v>3</v>
      </c>
      <c r="I238" s="4" t="s">
        <v>37</v>
      </c>
      <c r="J238" s="4" t="s">
        <v>28</v>
      </c>
      <c r="K238" s="4">
        <v>29</v>
      </c>
      <c r="L238" s="4" t="str">
        <f t="shared" si="3"/>
        <v>Adolescent</v>
      </c>
      <c r="M238" s="4" t="s">
        <v>15</v>
      </c>
    </row>
    <row r="239" spans="1:13" x14ac:dyDescent="0.3">
      <c r="A239" s="4">
        <v>238</v>
      </c>
      <c r="B239" s="4" t="s">
        <v>41</v>
      </c>
      <c r="C239" s="4" t="s">
        <v>19</v>
      </c>
      <c r="D239" s="4">
        <v>119678</v>
      </c>
      <c r="E239" s="4" t="s">
        <v>13</v>
      </c>
      <c r="F239" s="4" t="s">
        <v>35</v>
      </c>
      <c r="G239" s="4" t="s">
        <v>15</v>
      </c>
      <c r="H239" s="4">
        <v>3</v>
      </c>
      <c r="I239" s="4" t="s">
        <v>16</v>
      </c>
      <c r="J239" s="4" t="s">
        <v>34</v>
      </c>
      <c r="K239" s="4">
        <v>55</v>
      </c>
      <c r="L239" s="4" t="str">
        <f t="shared" si="3"/>
        <v>Old</v>
      </c>
      <c r="M239" s="4" t="s">
        <v>15</v>
      </c>
    </row>
    <row r="240" spans="1:13" x14ac:dyDescent="0.3">
      <c r="A240" s="4">
        <v>239</v>
      </c>
      <c r="B240" s="4" t="s">
        <v>41</v>
      </c>
      <c r="C240" s="4" t="s">
        <v>19</v>
      </c>
      <c r="D240" s="4">
        <v>50879</v>
      </c>
      <c r="E240" s="4" t="s">
        <v>20</v>
      </c>
      <c r="F240" s="4" t="s">
        <v>35</v>
      </c>
      <c r="G240" s="4" t="s">
        <v>22</v>
      </c>
      <c r="H240" s="4">
        <v>0</v>
      </c>
      <c r="I240" s="4" t="s">
        <v>23</v>
      </c>
      <c r="J240" s="4" t="s">
        <v>17</v>
      </c>
      <c r="K240" s="4">
        <v>42</v>
      </c>
      <c r="L240" s="4" t="str">
        <f t="shared" si="3"/>
        <v>Middle Age</v>
      </c>
      <c r="M240" s="4" t="s">
        <v>22</v>
      </c>
    </row>
    <row r="241" spans="1:13" x14ac:dyDescent="0.3">
      <c r="A241" s="4">
        <v>240</v>
      </c>
      <c r="B241" s="4" t="s">
        <v>41</v>
      </c>
      <c r="C241" s="4" t="s">
        <v>12</v>
      </c>
      <c r="D241" s="4">
        <v>34004</v>
      </c>
      <c r="E241" s="4" t="s">
        <v>20</v>
      </c>
      <c r="F241" s="4" t="s">
        <v>21</v>
      </c>
      <c r="G241" s="4" t="s">
        <v>15</v>
      </c>
      <c r="H241" s="4">
        <v>1</v>
      </c>
      <c r="I241" s="4" t="s">
        <v>23</v>
      </c>
      <c r="J241" s="4" t="s">
        <v>28</v>
      </c>
      <c r="K241" s="4">
        <v>18</v>
      </c>
      <c r="L241" s="4" t="str">
        <f t="shared" si="3"/>
        <v>Adolescent</v>
      </c>
      <c r="M241" s="4" t="s">
        <v>15</v>
      </c>
    </row>
    <row r="242" spans="1:13" x14ac:dyDescent="0.3">
      <c r="A242" s="4">
        <v>241</v>
      </c>
      <c r="B242" s="4" t="s">
        <v>40</v>
      </c>
      <c r="C242" s="4" t="s">
        <v>12</v>
      </c>
      <c r="D242" s="4">
        <v>65614</v>
      </c>
      <c r="E242" s="4" t="s">
        <v>20</v>
      </c>
      <c r="F242" s="4" t="s">
        <v>32</v>
      </c>
      <c r="G242" s="4" t="s">
        <v>22</v>
      </c>
      <c r="H242" s="4">
        <v>0</v>
      </c>
      <c r="I242" s="4" t="s">
        <v>37</v>
      </c>
      <c r="J242" s="4" t="s">
        <v>34</v>
      </c>
      <c r="K242" s="4">
        <v>23</v>
      </c>
      <c r="L242" s="4" t="str">
        <f t="shared" si="3"/>
        <v>Adolescent</v>
      </c>
      <c r="M242" s="4" t="s">
        <v>22</v>
      </c>
    </row>
    <row r="243" spans="1:13" x14ac:dyDescent="0.3">
      <c r="A243" s="4">
        <v>242</v>
      </c>
      <c r="B243" s="4" t="s">
        <v>40</v>
      </c>
      <c r="C243" s="4" t="s">
        <v>12</v>
      </c>
      <c r="D243" s="4">
        <v>66519</v>
      </c>
      <c r="E243" s="4" t="s">
        <v>13</v>
      </c>
      <c r="F243" s="4" t="s">
        <v>35</v>
      </c>
      <c r="G243" s="4" t="s">
        <v>22</v>
      </c>
      <c r="H243" s="4">
        <v>3</v>
      </c>
      <c r="I243" s="4" t="s">
        <v>27</v>
      </c>
      <c r="J243" s="4" t="s">
        <v>17</v>
      </c>
      <c r="K243" s="4">
        <v>60</v>
      </c>
      <c r="L243" s="4" t="str">
        <f t="shared" si="3"/>
        <v>Old</v>
      </c>
      <c r="M243" s="4" t="s">
        <v>15</v>
      </c>
    </row>
    <row r="244" spans="1:13" x14ac:dyDescent="0.3">
      <c r="A244" s="4">
        <v>243</v>
      </c>
      <c r="B244" s="4" t="s">
        <v>40</v>
      </c>
      <c r="C244" s="4" t="s">
        <v>19</v>
      </c>
      <c r="D244" s="4">
        <v>51216</v>
      </c>
      <c r="E244" s="4" t="s">
        <v>26</v>
      </c>
      <c r="F244" s="4" t="s">
        <v>21</v>
      </c>
      <c r="G244" s="4" t="s">
        <v>22</v>
      </c>
      <c r="H244" s="4">
        <v>1</v>
      </c>
      <c r="I244" s="4" t="s">
        <v>27</v>
      </c>
      <c r="J244" s="4" t="s">
        <v>24</v>
      </c>
      <c r="K244" s="4">
        <v>46</v>
      </c>
      <c r="L244" s="4" t="str">
        <f t="shared" si="3"/>
        <v>Middle Age</v>
      </c>
      <c r="M244" s="4" t="s">
        <v>15</v>
      </c>
    </row>
    <row r="245" spans="1:13" x14ac:dyDescent="0.3">
      <c r="A245" s="4">
        <v>244</v>
      </c>
      <c r="B245" s="4" t="s">
        <v>40</v>
      </c>
      <c r="C245" s="4" t="s">
        <v>19</v>
      </c>
      <c r="D245" s="4">
        <v>93344</v>
      </c>
      <c r="E245" s="4" t="s">
        <v>26</v>
      </c>
      <c r="F245" s="4" t="s">
        <v>36</v>
      </c>
      <c r="G245" s="4" t="s">
        <v>22</v>
      </c>
      <c r="H245" s="4">
        <v>3</v>
      </c>
      <c r="I245" s="4" t="s">
        <v>27</v>
      </c>
      <c r="J245" s="4" t="s">
        <v>34</v>
      </c>
      <c r="K245" s="4">
        <v>60</v>
      </c>
      <c r="L245" s="4" t="str">
        <f t="shared" si="3"/>
        <v>Old</v>
      </c>
      <c r="M245" s="4" t="s">
        <v>15</v>
      </c>
    </row>
    <row r="246" spans="1:13" x14ac:dyDescent="0.3">
      <c r="A246" s="4">
        <v>245</v>
      </c>
      <c r="B246" s="4" t="s">
        <v>40</v>
      </c>
      <c r="C246" s="4" t="s">
        <v>19</v>
      </c>
      <c r="D246" s="4">
        <v>115385</v>
      </c>
      <c r="E246" s="4" t="s">
        <v>31</v>
      </c>
      <c r="F246" s="4" t="s">
        <v>36</v>
      </c>
      <c r="G246" s="4" t="s">
        <v>22</v>
      </c>
      <c r="H246" s="4">
        <v>3</v>
      </c>
      <c r="I246" s="4" t="s">
        <v>37</v>
      </c>
      <c r="J246" s="4" t="s">
        <v>17</v>
      </c>
      <c r="K246" s="4">
        <v>37</v>
      </c>
      <c r="L246" s="4" t="str">
        <f t="shared" si="3"/>
        <v>Middle Age</v>
      </c>
      <c r="M246" s="4" t="s">
        <v>15</v>
      </c>
    </row>
    <row r="247" spans="1:13" x14ac:dyDescent="0.3">
      <c r="A247" s="4">
        <v>246</v>
      </c>
      <c r="B247" s="4" t="s">
        <v>40</v>
      </c>
      <c r="C247" s="4" t="s">
        <v>19</v>
      </c>
      <c r="D247" s="4">
        <v>109557</v>
      </c>
      <c r="E247" s="4" t="s">
        <v>13</v>
      </c>
      <c r="F247" s="4" t="s">
        <v>21</v>
      </c>
      <c r="G247" s="4" t="s">
        <v>15</v>
      </c>
      <c r="H247" s="4">
        <v>1</v>
      </c>
      <c r="I247" s="4" t="s">
        <v>16</v>
      </c>
      <c r="J247" s="4" t="s">
        <v>24</v>
      </c>
      <c r="K247" s="4">
        <v>51</v>
      </c>
      <c r="L247" s="4" t="str">
        <f t="shared" si="3"/>
        <v>Middle Age</v>
      </c>
      <c r="M247" s="4" t="s">
        <v>15</v>
      </c>
    </row>
    <row r="248" spans="1:13" x14ac:dyDescent="0.3">
      <c r="A248" s="4">
        <v>247</v>
      </c>
      <c r="B248" s="4" t="s">
        <v>40</v>
      </c>
      <c r="C248" s="4" t="s">
        <v>12</v>
      </c>
      <c r="D248" s="4">
        <v>95583</v>
      </c>
      <c r="E248" s="4" t="s">
        <v>20</v>
      </c>
      <c r="F248" s="4" t="s">
        <v>35</v>
      </c>
      <c r="G248" s="4" t="s">
        <v>15</v>
      </c>
      <c r="H248" s="4">
        <v>0</v>
      </c>
      <c r="I248" s="4" t="s">
        <v>23</v>
      </c>
      <c r="J248" s="4" t="s">
        <v>24</v>
      </c>
      <c r="K248" s="4">
        <v>47</v>
      </c>
      <c r="L248" s="4" t="str">
        <f t="shared" si="3"/>
        <v>Middle Age</v>
      </c>
      <c r="M248" s="4" t="s">
        <v>15</v>
      </c>
    </row>
    <row r="249" spans="1:13" x14ac:dyDescent="0.3">
      <c r="A249" s="4">
        <v>248</v>
      </c>
      <c r="B249" s="4" t="s">
        <v>40</v>
      </c>
      <c r="C249" s="4" t="s">
        <v>19</v>
      </c>
      <c r="D249" s="4">
        <v>83170</v>
      </c>
      <c r="E249" s="4" t="s">
        <v>13</v>
      </c>
      <c r="F249" s="4" t="s">
        <v>32</v>
      </c>
      <c r="G249" s="4" t="s">
        <v>22</v>
      </c>
      <c r="H249" s="4">
        <v>3</v>
      </c>
      <c r="I249" s="4" t="s">
        <v>16</v>
      </c>
      <c r="J249" s="4" t="s">
        <v>28</v>
      </c>
      <c r="K249" s="4">
        <v>23</v>
      </c>
      <c r="L249" s="4" t="str">
        <f t="shared" si="3"/>
        <v>Adolescent</v>
      </c>
      <c r="M249" s="4" t="s">
        <v>15</v>
      </c>
    </row>
    <row r="250" spans="1:13" x14ac:dyDescent="0.3">
      <c r="A250" s="4">
        <v>249</v>
      </c>
      <c r="B250" s="4" t="s">
        <v>40</v>
      </c>
      <c r="C250" s="4" t="s">
        <v>19</v>
      </c>
      <c r="D250" s="4">
        <v>41327</v>
      </c>
      <c r="E250" s="4" t="s">
        <v>20</v>
      </c>
      <c r="F250" s="4" t="s">
        <v>35</v>
      </c>
      <c r="G250" s="4" t="s">
        <v>15</v>
      </c>
      <c r="H250" s="4">
        <v>0</v>
      </c>
      <c r="I250" s="4" t="s">
        <v>23</v>
      </c>
      <c r="J250" s="4" t="s">
        <v>17</v>
      </c>
      <c r="K250" s="4">
        <v>28</v>
      </c>
      <c r="L250" s="4" t="str">
        <f t="shared" si="3"/>
        <v>Adolescent</v>
      </c>
      <c r="M250" s="4" t="s">
        <v>15</v>
      </c>
    </row>
    <row r="251" spans="1:13" x14ac:dyDescent="0.3">
      <c r="A251" s="4">
        <v>250</v>
      </c>
      <c r="B251" s="4" t="s">
        <v>40</v>
      </c>
      <c r="C251" s="4" t="s">
        <v>19</v>
      </c>
      <c r="D251" s="4">
        <v>68443</v>
      </c>
      <c r="E251" s="4" t="s">
        <v>31</v>
      </c>
      <c r="F251" s="4" t="s">
        <v>14</v>
      </c>
      <c r="G251" s="4" t="s">
        <v>22</v>
      </c>
      <c r="H251" s="4">
        <v>2</v>
      </c>
      <c r="I251" s="4" t="s">
        <v>37</v>
      </c>
      <c r="J251" s="4" t="s">
        <v>34</v>
      </c>
      <c r="K251" s="4">
        <v>60</v>
      </c>
      <c r="L251" s="4" t="str">
        <f t="shared" si="3"/>
        <v>Old</v>
      </c>
      <c r="M251" s="4" t="s">
        <v>15</v>
      </c>
    </row>
    <row r="252" spans="1:13" x14ac:dyDescent="0.3">
      <c r="A252" s="4">
        <v>251</v>
      </c>
      <c r="B252" s="4" t="s">
        <v>40</v>
      </c>
      <c r="C252" s="4" t="s">
        <v>19</v>
      </c>
      <c r="D252" s="4">
        <v>101783</v>
      </c>
      <c r="E252" s="4" t="s">
        <v>31</v>
      </c>
      <c r="F252" s="4" t="s">
        <v>36</v>
      </c>
      <c r="G252" s="4" t="s">
        <v>15</v>
      </c>
      <c r="H252" s="4">
        <v>3</v>
      </c>
      <c r="I252" s="4" t="s">
        <v>27</v>
      </c>
      <c r="J252" s="4" t="s">
        <v>17</v>
      </c>
      <c r="K252" s="4">
        <v>26</v>
      </c>
      <c r="L252" s="4" t="str">
        <f t="shared" si="3"/>
        <v>Adolescent</v>
      </c>
      <c r="M252" s="4" t="s">
        <v>15</v>
      </c>
    </row>
    <row r="253" spans="1:13" x14ac:dyDescent="0.3">
      <c r="A253" s="4">
        <v>252</v>
      </c>
      <c r="B253" s="4" t="s">
        <v>40</v>
      </c>
      <c r="C253" s="4" t="s">
        <v>12</v>
      </c>
      <c r="D253" s="4">
        <v>75725</v>
      </c>
      <c r="E253" s="4" t="s">
        <v>26</v>
      </c>
      <c r="F253" s="4" t="s">
        <v>36</v>
      </c>
      <c r="G253" s="4" t="s">
        <v>22</v>
      </c>
      <c r="H253" s="4">
        <v>1</v>
      </c>
      <c r="I253" s="4" t="s">
        <v>16</v>
      </c>
      <c r="J253" s="4" t="s">
        <v>24</v>
      </c>
      <c r="K253" s="4">
        <v>32</v>
      </c>
      <c r="L253" s="4" t="str">
        <f t="shared" si="3"/>
        <v>Middle Age</v>
      </c>
      <c r="M253" s="4" t="s">
        <v>22</v>
      </c>
    </row>
    <row r="254" spans="1:13" x14ac:dyDescent="0.3">
      <c r="A254" s="4">
        <v>253</v>
      </c>
      <c r="B254" s="4" t="s">
        <v>40</v>
      </c>
      <c r="C254" s="4" t="s">
        <v>12</v>
      </c>
      <c r="D254" s="4">
        <v>31877</v>
      </c>
      <c r="E254" s="4" t="s">
        <v>26</v>
      </c>
      <c r="F254" s="4" t="s">
        <v>35</v>
      </c>
      <c r="G254" s="4" t="s">
        <v>15</v>
      </c>
      <c r="H254" s="4">
        <v>1</v>
      </c>
      <c r="I254" s="4" t="s">
        <v>27</v>
      </c>
      <c r="J254" s="4" t="s">
        <v>28</v>
      </c>
      <c r="K254" s="4">
        <v>53</v>
      </c>
      <c r="L254" s="4" t="str">
        <f t="shared" si="3"/>
        <v>Middle Age</v>
      </c>
      <c r="M254" s="4" t="s">
        <v>15</v>
      </c>
    </row>
    <row r="255" spans="1:13" x14ac:dyDescent="0.3">
      <c r="A255" s="4">
        <v>254</v>
      </c>
      <c r="B255" s="4" t="s">
        <v>40</v>
      </c>
      <c r="C255" s="4" t="s">
        <v>12</v>
      </c>
      <c r="D255" s="4">
        <v>81554</v>
      </c>
      <c r="E255" s="4" t="s">
        <v>20</v>
      </c>
      <c r="F255" s="4" t="s">
        <v>21</v>
      </c>
      <c r="G255" s="4" t="s">
        <v>15</v>
      </c>
      <c r="H255" s="4">
        <v>1</v>
      </c>
      <c r="I255" s="4" t="s">
        <v>27</v>
      </c>
      <c r="J255" s="4" t="s">
        <v>17</v>
      </c>
      <c r="K255" s="4">
        <v>33</v>
      </c>
      <c r="L255" s="4" t="str">
        <f t="shared" si="3"/>
        <v>Middle Age</v>
      </c>
      <c r="M255" s="4" t="s">
        <v>15</v>
      </c>
    </row>
    <row r="256" spans="1:13" x14ac:dyDescent="0.3">
      <c r="A256" s="4">
        <v>255</v>
      </c>
      <c r="B256" s="4" t="s">
        <v>40</v>
      </c>
      <c r="C256" s="4" t="s">
        <v>19</v>
      </c>
      <c r="D256" s="4">
        <v>52382</v>
      </c>
      <c r="E256" s="4" t="s">
        <v>26</v>
      </c>
      <c r="F256" s="4" t="s">
        <v>32</v>
      </c>
      <c r="G256" s="4" t="s">
        <v>15</v>
      </c>
      <c r="H256" s="4">
        <v>0</v>
      </c>
      <c r="I256" s="4" t="s">
        <v>37</v>
      </c>
      <c r="J256" s="4" t="s">
        <v>34</v>
      </c>
      <c r="K256" s="4">
        <v>54</v>
      </c>
      <c r="L256" s="4" t="str">
        <f t="shared" si="3"/>
        <v>Middle Age</v>
      </c>
      <c r="M256" s="4" t="s">
        <v>15</v>
      </c>
    </row>
    <row r="257" spans="1:13" x14ac:dyDescent="0.3">
      <c r="A257" s="4">
        <v>256</v>
      </c>
      <c r="B257" s="4" t="s">
        <v>40</v>
      </c>
      <c r="C257" s="4" t="s">
        <v>12</v>
      </c>
      <c r="D257" s="4">
        <v>21180</v>
      </c>
      <c r="E257" s="4" t="s">
        <v>26</v>
      </c>
      <c r="F257" s="4" t="s">
        <v>32</v>
      </c>
      <c r="G257" s="4" t="s">
        <v>15</v>
      </c>
      <c r="H257" s="4">
        <v>2</v>
      </c>
      <c r="I257" s="4" t="s">
        <v>37</v>
      </c>
      <c r="J257" s="4" t="s">
        <v>17</v>
      </c>
      <c r="K257" s="4">
        <v>46</v>
      </c>
      <c r="L257" s="4" t="str">
        <f t="shared" si="3"/>
        <v>Middle Age</v>
      </c>
      <c r="M257" s="4" t="s">
        <v>15</v>
      </c>
    </row>
    <row r="258" spans="1:13" x14ac:dyDescent="0.3">
      <c r="A258" s="4">
        <v>257</v>
      </c>
      <c r="B258" s="4" t="s">
        <v>40</v>
      </c>
      <c r="C258" s="4" t="s">
        <v>19</v>
      </c>
      <c r="D258" s="4">
        <v>113873</v>
      </c>
      <c r="E258" s="4" t="s">
        <v>31</v>
      </c>
      <c r="F258" s="4" t="s">
        <v>14</v>
      </c>
      <c r="G258" s="4" t="s">
        <v>15</v>
      </c>
      <c r="H258" s="4">
        <v>0</v>
      </c>
      <c r="I258" s="4" t="s">
        <v>27</v>
      </c>
      <c r="J258" s="4" t="s">
        <v>24</v>
      </c>
      <c r="K258" s="4">
        <v>57</v>
      </c>
      <c r="L258" s="4" t="str">
        <f t="shared" ref="L258:L321" si="4">IF(K258&gt;54,"Old",IF(K258&gt;31,"Middle Age",IF(K258&lt;31,"Adolescent","Invalid")))</f>
        <v>Old</v>
      </c>
      <c r="M258" s="4" t="s">
        <v>15</v>
      </c>
    </row>
    <row r="259" spans="1:13" x14ac:dyDescent="0.3">
      <c r="A259" s="4">
        <v>258</v>
      </c>
      <c r="B259" s="4" t="s">
        <v>40</v>
      </c>
      <c r="C259" s="4" t="s">
        <v>19</v>
      </c>
      <c r="D259" s="4">
        <v>29062</v>
      </c>
      <c r="E259" s="4" t="s">
        <v>31</v>
      </c>
      <c r="F259" s="4" t="s">
        <v>32</v>
      </c>
      <c r="G259" s="4" t="s">
        <v>15</v>
      </c>
      <c r="H259" s="4">
        <v>0</v>
      </c>
      <c r="I259" s="4" t="s">
        <v>27</v>
      </c>
      <c r="J259" s="4" t="s">
        <v>24</v>
      </c>
      <c r="K259" s="4">
        <v>44</v>
      </c>
      <c r="L259" s="4" t="str">
        <f t="shared" si="4"/>
        <v>Middle Age</v>
      </c>
      <c r="M259" s="4" t="s">
        <v>15</v>
      </c>
    </row>
    <row r="260" spans="1:13" x14ac:dyDescent="0.3">
      <c r="A260" s="4">
        <v>259</v>
      </c>
      <c r="B260" s="4" t="s">
        <v>40</v>
      </c>
      <c r="C260" s="4" t="s">
        <v>19</v>
      </c>
      <c r="D260" s="4">
        <v>68798</v>
      </c>
      <c r="E260" s="4" t="s">
        <v>20</v>
      </c>
      <c r="F260" s="4" t="s">
        <v>32</v>
      </c>
      <c r="G260" s="4" t="s">
        <v>15</v>
      </c>
      <c r="H260" s="4">
        <v>2</v>
      </c>
      <c r="I260" s="4" t="s">
        <v>23</v>
      </c>
      <c r="J260" s="4" t="s">
        <v>24</v>
      </c>
      <c r="K260" s="4">
        <v>20</v>
      </c>
      <c r="L260" s="4" t="str">
        <f t="shared" si="4"/>
        <v>Adolescent</v>
      </c>
      <c r="M260" s="4" t="s">
        <v>22</v>
      </c>
    </row>
    <row r="261" spans="1:13" x14ac:dyDescent="0.3">
      <c r="A261" s="4">
        <v>260</v>
      </c>
      <c r="B261" s="4" t="s">
        <v>40</v>
      </c>
      <c r="C261" s="4" t="s">
        <v>12</v>
      </c>
      <c r="D261" s="4">
        <v>46491</v>
      </c>
      <c r="E261" s="4" t="s">
        <v>31</v>
      </c>
      <c r="F261" s="4" t="s">
        <v>14</v>
      </c>
      <c r="G261" s="4" t="s">
        <v>22</v>
      </c>
      <c r="H261" s="4">
        <v>3</v>
      </c>
      <c r="I261" s="4" t="s">
        <v>33</v>
      </c>
      <c r="J261" s="4" t="s">
        <v>34</v>
      </c>
      <c r="K261" s="4">
        <v>30</v>
      </c>
      <c r="L261" s="4" t="str">
        <f t="shared" si="4"/>
        <v>Adolescent</v>
      </c>
      <c r="M261" s="4" t="s">
        <v>15</v>
      </c>
    </row>
    <row r="262" spans="1:13" x14ac:dyDescent="0.3">
      <c r="A262" s="4">
        <v>261</v>
      </c>
      <c r="B262" s="4" t="s">
        <v>40</v>
      </c>
      <c r="C262" s="4" t="s">
        <v>19</v>
      </c>
      <c r="D262" s="4">
        <v>70059</v>
      </c>
      <c r="E262" s="4" t="s">
        <v>26</v>
      </c>
      <c r="F262" s="4" t="s">
        <v>32</v>
      </c>
      <c r="G262" s="4" t="s">
        <v>22</v>
      </c>
      <c r="H262" s="4">
        <v>1</v>
      </c>
      <c r="I262" s="4" t="s">
        <v>33</v>
      </c>
      <c r="J262" s="4" t="s">
        <v>24</v>
      </c>
      <c r="K262" s="4">
        <v>52</v>
      </c>
      <c r="L262" s="4" t="str">
        <f t="shared" si="4"/>
        <v>Middle Age</v>
      </c>
      <c r="M262" s="4" t="s">
        <v>15</v>
      </c>
    </row>
    <row r="263" spans="1:13" x14ac:dyDescent="0.3">
      <c r="A263" s="4">
        <v>262</v>
      </c>
      <c r="B263" s="4" t="s">
        <v>40</v>
      </c>
      <c r="C263" s="4" t="s">
        <v>12</v>
      </c>
      <c r="D263" s="4">
        <v>105961</v>
      </c>
      <c r="E263" s="4" t="s">
        <v>20</v>
      </c>
      <c r="F263" s="4" t="s">
        <v>35</v>
      </c>
      <c r="G263" s="4" t="s">
        <v>22</v>
      </c>
      <c r="H263" s="4">
        <v>1</v>
      </c>
      <c r="I263" s="4" t="s">
        <v>16</v>
      </c>
      <c r="J263" s="4" t="s">
        <v>17</v>
      </c>
      <c r="K263" s="4">
        <v>56</v>
      </c>
      <c r="L263" s="4" t="str">
        <f t="shared" si="4"/>
        <v>Old</v>
      </c>
      <c r="M263" s="4" t="s">
        <v>15</v>
      </c>
    </row>
    <row r="264" spans="1:13" x14ac:dyDescent="0.3">
      <c r="A264" s="4">
        <v>263</v>
      </c>
      <c r="B264" s="4" t="s">
        <v>41</v>
      </c>
      <c r="C264" s="4" t="s">
        <v>19</v>
      </c>
      <c r="D264" s="4">
        <v>61833</v>
      </c>
      <c r="E264" s="4" t="s">
        <v>31</v>
      </c>
      <c r="F264" s="4" t="s">
        <v>32</v>
      </c>
      <c r="G264" s="4" t="s">
        <v>15</v>
      </c>
      <c r="H264" s="4">
        <v>3</v>
      </c>
      <c r="I264" s="4" t="s">
        <v>33</v>
      </c>
      <c r="J264" s="4" t="s">
        <v>17</v>
      </c>
      <c r="K264" s="4">
        <v>42</v>
      </c>
      <c r="L264" s="4" t="str">
        <f t="shared" si="4"/>
        <v>Middle Age</v>
      </c>
      <c r="M264" s="4" t="s">
        <v>15</v>
      </c>
    </row>
    <row r="265" spans="1:13" x14ac:dyDescent="0.3">
      <c r="A265" s="4">
        <v>264</v>
      </c>
      <c r="B265" s="4" t="s">
        <v>41</v>
      </c>
      <c r="C265" s="4" t="s">
        <v>19</v>
      </c>
      <c r="D265" s="4">
        <v>82400</v>
      </c>
      <c r="E265" s="4" t="s">
        <v>26</v>
      </c>
      <c r="F265" s="4" t="s">
        <v>35</v>
      </c>
      <c r="G265" s="4" t="s">
        <v>22</v>
      </c>
      <c r="H265" s="4">
        <v>0</v>
      </c>
      <c r="I265" s="4" t="s">
        <v>37</v>
      </c>
      <c r="J265" s="4" t="s">
        <v>17</v>
      </c>
      <c r="K265" s="4">
        <v>21</v>
      </c>
      <c r="L265" s="4" t="str">
        <f t="shared" si="4"/>
        <v>Adolescent</v>
      </c>
      <c r="M265" s="4" t="s">
        <v>22</v>
      </c>
    </row>
    <row r="266" spans="1:13" x14ac:dyDescent="0.3">
      <c r="A266" s="4">
        <v>265</v>
      </c>
      <c r="B266" s="4" t="s">
        <v>40</v>
      </c>
      <c r="C266" s="4" t="s">
        <v>19</v>
      </c>
      <c r="D266" s="4">
        <v>64464</v>
      </c>
      <c r="E266" s="4" t="s">
        <v>13</v>
      </c>
      <c r="F266" s="4" t="s">
        <v>35</v>
      </c>
      <c r="G266" s="4" t="s">
        <v>15</v>
      </c>
      <c r="H266" s="4">
        <v>2</v>
      </c>
      <c r="I266" s="4" t="s">
        <v>27</v>
      </c>
      <c r="J266" s="4" t="s">
        <v>28</v>
      </c>
      <c r="K266" s="4">
        <v>33</v>
      </c>
      <c r="L266" s="4" t="str">
        <f t="shared" si="4"/>
        <v>Middle Age</v>
      </c>
      <c r="M266" s="4" t="s">
        <v>22</v>
      </c>
    </row>
    <row r="267" spans="1:13" x14ac:dyDescent="0.3">
      <c r="A267" s="4">
        <v>266</v>
      </c>
      <c r="B267" s="4" t="s">
        <v>40</v>
      </c>
      <c r="C267" s="4" t="s">
        <v>12</v>
      </c>
      <c r="D267" s="4">
        <v>40021</v>
      </c>
      <c r="E267" s="4" t="s">
        <v>26</v>
      </c>
      <c r="F267" s="4" t="s">
        <v>35</v>
      </c>
      <c r="G267" s="4" t="s">
        <v>15</v>
      </c>
      <c r="H267" s="4">
        <v>2</v>
      </c>
      <c r="I267" s="4" t="s">
        <v>37</v>
      </c>
      <c r="J267" s="4" t="s">
        <v>24</v>
      </c>
      <c r="K267" s="4">
        <v>28</v>
      </c>
      <c r="L267" s="4" t="str">
        <f t="shared" si="4"/>
        <v>Adolescent</v>
      </c>
      <c r="M267" s="4" t="s">
        <v>15</v>
      </c>
    </row>
    <row r="268" spans="1:13" x14ac:dyDescent="0.3">
      <c r="A268" s="4">
        <v>267</v>
      </c>
      <c r="B268" s="4" t="s">
        <v>40</v>
      </c>
      <c r="C268" s="4" t="s">
        <v>19</v>
      </c>
      <c r="D268" s="4">
        <v>23790</v>
      </c>
      <c r="E268" s="4" t="s">
        <v>20</v>
      </c>
      <c r="F268" s="4" t="s">
        <v>36</v>
      </c>
      <c r="G268" s="4" t="s">
        <v>15</v>
      </c>
      <c r="H268" s="4">
        <v>3</v>
      </c>
      <c r="I268" s="4" t="s">
        <v>23</v>
      </c>
      <c r="J268" s="4" t="s">
        <v>28</v>
      </c>
      <c r="K268" s="4">
        <v>18</v>
      </c>
      <c r="L268" s="4" t="str">
        <f t="shared" si="4"/>
        <v>Adolescent</v>
      </c>
      <c r="M268" s="4" t="s">
        <v>15</v>
      </c>
    </row>
    <row r="269" spans="1:13" x14ac:dyDescent="0.3">
      <c r="A269" s="4">
        <v>268</v>
      </c>
      <c r="B269" s="4" t="s">
        <v>41</v>
      </c>
      <c r="C269" s="4" t="s">
        <v>12</v>
      </c>
      <c r="D269" s="4">
        <v>119946</v>
      </c>
      <c r="E269" s="4" t="s">
        <v>20</v>
      </c>
      <c r="F269" s="4" t="s">
        <v>21</v>
      </c>
      <c r="G269" s="4" t="s">
        <v>22</v>
      </c>
      <c r="H269" s="4">
        <v>0</v>
      </c>
      <c r="I269" s="4" t="s">
        <v>33</v>
      </c>
      <c r="J269" s="4" t="s">
        <v>17</v>
      </c>
      <c r="K269" s="4">
        <v>41</v>
      </c>
      <c r="L269" s="4" t="str">
        <f t="shared" si="4"/>
        <v>Middle Age</v>
      </c>
      <c r="M269" s="4" t="s">
        <v>22</v>
      </c>
    </row>
    <row r="270" spans="1:13" x14ac:dyDescent="0.3">
      <c r="A270" s="4">
        <v>269</v>
      </c>
      <c r="B270" s="4" t="s">
        <v>40</v>
      </c>
      <c r="C270" s="4" t="s">
        <v>19</v>
      </c>
      <c r="D270" s="4">
        <v>79162</v>
      </c>
      <c r="E270" s="4" t="s">
        <v>13</v>
      </c>
      <c r="F270" s="4" t="s">
        <v>14</v>
      </c>
      <c r="G270" s="4" t="s">
        <v>22</v>
      </c>
      <c r="H270" s="4">
        <v>2</v>
      </c>
      <c r="I270" s="4" t="s">
        <v>23</v>
      </c>
      <c r="J270" s="4" t="s">
        <v>34</v>
      </c>
      <c r="K270" s="4">
        <v>51</v>
      </c>
      <c r="L270" s="4" t="str">
        <f t="shared" si="4"/>
        <v>Middle Age</v>
      </c>
      <c r="M270" s="4" t="s">
        <v>15</v>
      </c>
    </row>
    <row r="271" spans="1:13" x14ac:dyDescent="0.3">
      <c r="A271" s="4">
        <v>270</v>
      </c>
      <c r="B271" s="4" t="s">
        <v>41</v>
      </c>
      <c r="C271" s="4" t="s">
        <v>12</v>
      </c>
      <c r="D271" s="4">
        <v>40169</v>
      </c>
      <c r="E271" s="4" t="s">
        <v>13</v>
      </c>
      <c r="F271" s="4" t="s">
        <v>14</v>
      </c>
      <c r="G271" s="4" t="s">
        <v>15</v>
      </c>
      <c r="H271" s="4">
        <v>0</v>
      </c>
      <c r="I271" s="4" t="s">
        <v>37</v>
      </c>
      <c r="J271" s="4" t="s">
        <v>28</v>
      </c>
      <c r="K271" s="4">
        <v>38</v>
      </c>
      <c r="L271" s="4" t="str">
        <f t="shared" si="4"/>
        <v>Middle Age</v>
      </c>
      <c r="M271" s="4" t="s">
        <v>15</v>
      </c>
    </row>
    <row r="272" spans="1:13" x14ac:dyDescent="0.3">
      <c r="A272" s="4">
        <v>271</v>
      </c>
      <c r="B272" s="4" t="s">
        <v>40</v>
      </c>
      <c r="C272" s="4" t="s">
        <v>19</v>
      </c>
      <c r="D272" s="4">
        <v>87402</v>
      </c>
      <c r="E272" s="4" t="s">
        <v>31</v>
      </c>
      <c r="F272" s="4" t="s">
        <v>21</v>
      </c>
      <c r="G272" s="4" t="s">
        <v>15</v>
      </c>
      <c r="H272" s="4">
        <v>1</v>
      </c>
      <c r="I272" s="4" t="s">
        <v>23</v>
      </c>
      <c r="J272" s="4" t="s">
        <v>17</v>
      </c>
      <c r="K272" s="4">
        <v>33</v>
      </c>
      <c r="L272" s="4" t="str">
        <f t="shared" si="4"/>
        <v>Middle Age</v>
      </c>
      <c r="M272" s="4" t="s">
        <v>22</v>
      </c>
    </row>
    <row r="273" spans="1:13" x14ac:dyDescent="0.3">
      <c r="A273" s="4">
        <v>272</v>
      </c>
      <c r="B273" s="4" t="s">
        <v>40</v>
      </c>
      <c r="C273" s="4" t="s">
        <v>19</v>
      </c>
      <c r="D273" s="4">
        <v>57758</v>
      </c>
      <c r="E273" s="4" t="s">
        <v>31</v>
      </c>
      <c r="F273" s="4" t="s">
        <v>14</v>
      </c>
      <c r="G273" s="4" t="s">
        <v>15</v>
      </c>
      <c r="H273" s="4">
        <v>2</v>
      </c>
      <c r="I273" s="4" t="s">
        <v>16</v>
      </c>
      <c r="J273" s="4" t="s">
        <v>24</v>
      </c>
      <c r="K273" s="4">
        <v>41</v>
      </c>
      <c r="L273" s="4" t="str">
        <f t="shared" si="4"/>
        <v>Middle Age</v>
      </c>
      <c r="M273" s="4" t="s">
        <v>15</v>
      </c>
    </row>
    <row r="274" spans="1:13" x14ac:dyDescent="0.3">
      <c r="A274" s="4">
        <v>273</v>
      </c>
      <c r="B274" s="4" t="s">
        <v>40</v>
      </c>
      <c r="C274" s="4" t="s">
        <v>19</v>
      </c>
      <c r="D274" s="4">
        <v>103934</v>
      </c>
      <c r="E274" s="4" t="s">
        <v>31</v>
      </c>
      <c r="F274" s="4" t="s">
        <v>36</v>
      </c>
      <c r="G274" s="4" t="s">
        <v>15</v>
      </c>
      <c r="H274" s="4">
        <v>0</v>
      </c>
      <c r="I274" s="4" t="s">
        <v>33</v>
      </c>
      <c r="J274" s="4" t="s">
        <v>34</v>
      </c>
      <c r="K274" s="4">
        <v>26</v>
      </c>
      <c r="L274" s="4" t="str">
        <f t="shared" si="4"/>
        <v>Adolescent</v>
      </c>
      <c r="M274" s="4" t="s">
        <v>22</v>
      </c>
    </row>
    <row r="275" spans="1:13" x14ac:dyDescent="0.3">
      <c r="A275" s="4">
        <v>274</v>
      </c>
      <c r="B275" s="4" t="s">
        <v>40</v>
      </c>
      <c r="C275" s="4" t="s">
        <v>12</v>
      </c>
      <c r="D275" s="4">
        <v>35094</v>
      </c>
      <c r="E275" s="4" t="s">
        <v>26</v>
      </c>
      <c r="F275" s="4" t="s">
        <v>14</v>
      </c>
      <c r="G275" s="4" t="s">
        <v>15</v>
      </c>
      <c r="H275" s="4">
        <v>0</v>
      </c>
      <c r="I275" s="4" t="s">
        <v>33</v>
      </c>
      <c r="J275" s="4" t="s">
        <v>34</v>
      </c>
      <c r="K275" s="4">
        <v>27</v>
      </c>
      <c r="L275" s="4" t="str">
        <f t="shared" si="4"/>
        <v>Adolescent</v>
      </c>
      <c r="M275" s="4" t="s">
        <v>15</v>
      </c>
    </row>
    <row r="276" spans="1:13" x14ac:dyDescent="0.3">
      <c r="A276" s="4">
        <v>275</v>
      </c>
      <c r="B276" s="4" t="s">
        <v>40</v>
      </c>
      <c r="C276" s="4" t="s">
        <v>19</v>
      </c>
      <c r="D276" s="4">
        <v>109079</v>
      </c>
      <c r="E276" s="4" t="s">
        <v>13</v>
      </c>
      <c r="F276" s="4" t="s">
        <v>14</v>
      </c>
      <c r="G276" s="4" t="s">
        <v>22</v>
      </c>
      <c r="H276" s="4">
        <v>0</v>
      </c>
      <c r="I276" s="4" t="s">
        <v>27</v>
      </c>
      <c r="J276" s="4" t="s">
        <v>28</v>
      </c>
      <c r="K276" s="4">
        <v>21</v>
      </c>
      <c r="L276" s="4" t="str">
        <f t="shared" si="4"/>
        <v>Adolescent</v>
      </c>
      <c r="M276" s="4" t="s">
        <v>15</v>
      </c>
    </row>
    <row r="277" spans="1:13" x14ac:dyDescent="0.3">
      <c r="A277" s="4">
        <v>276</v>
      </c>
      <c r="B277" s="4" t="s">
        <v>40</v>
      </c>
      <c r="C277" s="4" t="s">
        <v>12</v>
      </c>
      <c r="D277" s="4">
        <v>30524</v>
      </c>
      <c r="E277" s="4" t="s">
        <v>26</v>
      </c>
      <c r="F277" s="4" t="s">
        <v>21</v>
      </c>
      <c r="G277" s="4" t="s">
        <v>22</v>
      </c>
      <c r="H277" s="4">
        <v>0</v>
      </c>
      <c r="I277" s="4" t="s">
        <v>33</v>
      </c>
      <c r="J277" s="4" t="s">
        <v>17</v>
      </c>
      <c r="K277" s="4">
        <v>19</v>
      </c>
      <c r="L277" s="4" t="str">
        <f t="shared" si="4"/>
        <v>Adolescent</v>
      </c>
      <c r="M277" s="4" t="s">
        <v>15</v>
      </c>
    </row>
    <row r="278" spans="1:13" x14ac:dyDescent="0.3">
      <c r="A278" s="4">
        <v>277</v>
      </c>
      <c r="B278" s="4" t="s">
        <v>40</v>
      </c>
      <c r="C278" s="4" t="s">
        <v>12</v>
      </c>
      <c r="D278" s="4">
        <v>119301</v>
      </c>
      <c r="E278" s="4" t="s">
        <v>31</v>
      </c>
      <c r="F278" s="4" t="s">
        <v>32</v>
      </c>
      <c r="G278" s="4" t="s">
        <v>22</v>
      </c>
      <c r="H278" s="4">
        <v>2</v>
      </c>
      <c r="I278" s="4" t="s">
        <v>16</v>
      </c>
      <c r="J278" s="4" t="s">
        <v>24</v>
      </c>
      <c r="K278" s="4">
        <v>38</v>
      </c>
      <c r="L278" s="4" t="str">
        <f t="shared" si="4"/>
        <v>Middle Age</v>
      </c>
      <c r="M278" s="4" t="s">
        <v>15</v>
      </c>
    </row>
    <row r="279" spans="1:13" x14ac:dyDescent="0.3">
      <c r="A279" s="4">
        <v>278</v>
      </c>
      <c r="B279" s="4" t="s">
        <v>40</v>
      </c>
      <c r="C279" s="4" t="s">
        <v>19</v>
      </c>
      <c r="D279" s="4">
        <v>53224</v>
      </c>
      <c r="E279" s="4" t="s">
        <v>31</v>
      </c>
      <c r="F279" s="4" t="s">
        <v>35</v>
      </c>
      <c r="G279" s="4" t="s">
        <v>15</v>
      </c>
      <c r="H279" s="4">
        <v>0</v>
      </c>
      <c r="I279" s="4" t="s">
        <v>27</v>
      </c>
      <c r="J279" s="4" t="s">
        <v>24</v>
      </c>
      <c r="K279" s="4">
        <v>27</v>
      </c>
      <c r="L279" s="4" t="str">
        <f t="shared" si="4"/>
        <v>Adolescent</v>
      </c>
      <c r="M279" s="4" t="s">
        <v>15</v>
      </c>
    </row>
    <row r="280" spans="1:13" x14ac:dyDescent="0.3">
      <c r="A280" s="4">
        <v>279</v>
      </c>
      <c r="B280" s="4" t="s">
        <v>40</v>
      </c>
      <c r="C280" s="4" t="s">
        <v>12</v>
      </c>
      <c r="D280" s="4">
        <v>21139</v>
      </c>
      <c r="E280" s="4" t="s">
        <v>20</v>
      </c>
      <c r="F280" s="4" t="s">
        <v>14</v>
      </c>
      <c r="G280" s="4" t="s">
        <v>15</v>
      </c>
      <c r="H280" s="4">
        <v>3</v>
      </c>
      <c r="I280" s="4" t="s">
        <v>16</v>
      </c>
      <c r="J280" s="4" t="s">
        <v>17</v>
      </c>
      <c r="K280" s="4">
        <v>38</v>
      </c>
      <c r="L280" s="4" t="str">
        <f t="shared" si="4"/>
        <v>Middle Age</v>
      </c>
      <c r="M280" s="4" t="s">
        <v>15</v>
      </c>
    </row>
    <row r="281" spans="1:13" x14ac:dyDescent="0.3">
      <c r="A281" s="4">
        <v>280</v>
      </c>
      <c r="B281" s="4" t="s">
        <v>40</v>
      </c>
      <c r="C281" s="4" t="s">
        <v>19</v>
      </c>
      <c r="D281" s="4">
        <v>31601</v>
      </c>
      <c r="E281" s="4" t="s">
        <v>13</v>
      </c>
      <c r="F281" s="4" t="s">
        <v>21</v>
      </c>
      <c r="G281" s="4" t="s">
        <v>15</v>
      </c>
      <c r="H281" s="4">
        <v>2</v>
      </c>
      <c r="I281" s="4" t="s">
        <v>27</v>
      </c>
      <c r="J281" s="4" t="s">
        <v>24</v>
      </c>
      <c r="K281" s="4">
        <v>52</v>
      </c>
      <c r="L281" s="4" t="str">
        <f t="shared" si="4"/>
        <v>Middle Age</v>
      </c>
      <c r="M281" s="4" t="s">
        <v>15</v>
      </c>
    </row>
    <row r="282" spans="1:13" x14ac:dyDescent="0.3">
      <c r="A282" s="4">
        <v>281</v>
      </c>
      <c r="B282" s="4" t="s">
        <v>40</v>
      </c>
      <c r="C282" s="4" t="s">
        <v>12</v>
      </c>
      <c r="D282" s="4">
        <v>35929</v>
      </c>
      <c r="E282" s="4" t="s">
        <v>31</v>
      </c>
      <c r="F282" s="4" t="s">
        <v>35</v>
      </c>
      <c r="G282" s="4" t="s">
        <v>22</v>
      </c>
      <c r="H282" s="4">
        <v>0</v>
      </c>
      <c r="I282" s="4" t="s">
        <v>16</v>
      </c>
      <c r="J282" s="4" t="s">
        <v>24</v>
      </c>
      <c r="K282" s="4">
        <v>24</v>
      </c>
      <c r="L282" s="4" t="str">
        <f t="shared" si="4"/>
        <v>Adolescent</v>
      </c>
      <c r="M282" s="4" t="s">
        <v>15</v>
      </c>
    </row>
    <row r="283" spans="1:13" x14ac:dyDescent="0.3">
      <c r="A283" s="4">
        <v>282</v>
      </c>
      <c r="B283" s="4" t="s">
        <v>40</v>
      </c>
      <c r="C283" s="4" t="s">
        <v>19</v>
      </c>
      <c r="D283" s="4">
        <v>100286</v>
      </c>
      <c r="E283" s="4" t="s">
        <v>20</v>
      </c>
      <c r="F283" s="4" t="s">
        <v>36</v>
      </c>
      <c r="G283" s="4" t="s">
        <v>22</v>
      </c>
      <c r="H283" s="4">
        <v>2</v>
      </c>
      <c r="I283" s="4" t="s">
        <v>16</v>
      </c>
      <c r="J283" s="4" t="s">
        <v>17</v>
      </c>
      <c r="K283" s="4">
        <v>49</v>
      </c>
      <c r="L283" s="4" t="str">
        <f t="shared" si="4"/>
        <v>Middle Age</v>
      </c>
      <c r="M283" s="4" t="s">
        <v>15</v>
      </c>
    </row>
    <row r="284" spans="1:13" x14ac:dyDescent="0.3">
      <c r="A284" s="4">
        <v>283</v>
      </c>
      <c r="B284" s="4" t="s">
        <v>40</v>
      </c>
      <c r="C284" s="4" t="s">
        <v>19</v>
      </c>
      <c r="D284" s="4">
        <v>117220</v>
      </c>
      <c r="E284" s="4" t="s">
        <v>20</v>
      </c>
      <c r="F284" s="4" t="s">
        <v>21</v>
      </c>
      <c r="G284" s="4" t="s">
        <v>15</v>
      </c>
      <c r="H284" s="4">
        <v>1</v>
      </c>
      <c r="I284" s="4" t="s">
        <v>27</v>
      </c>
      <c r="J284" s="4" t="s">
        <v>28</v>
      </c>
      <c r="K284" s="4">
        <v>30</v>
      </c>
      <c r="L284" s="4" t="str">
        <f t="shared" si="4"/>
        <v>Adolescent</v>
      </c>
      <c r="M284" s="4" t="s">
        <v>22</v>
      </c>
    </row>
    <row r="285" spans="1:13" x14ac:dyDescent="0.3">
      <c r="A285" s="4">
        <v>284</v>
      </c>
      <c r="B285" s="4" t="s">
        <v>40</v>
      </c>
      <c r="C285" s="4" t="s">
        <v>12</v>
      </c>
      <c r="D285" s="4">
        <v>113003</v>
      </c>
      <c r="E285" s="4" t="s">
        <v>13</v>
      </c>
      <c r="F285" s="4" t="s">
        <v>32</v>
      </c>
      <c r="G285" s="4" t="s">
        <v>15</v>
      </c>
      <c r="H285" s="4">
        <v>0</v>
      </c>
      <c r="I285" s="4" t="s">
        <v>23</v>
      </c>
      <c r="J285" s="4" t="s">
        <v>24</v>
      </c>
      <c r="K285" s="4">
        <v>43</v>
      </c>
      <c r="L285" s="4" t="str">
        <f t="shared" si="4"/>
        <v>Middle Age</v>
      </c>
      <c r="M285" s="4" t="s">
        <v>22</v>
      </c>
    </row>
    <row r="286" spans="1:13" x14ac:dyDescent="0.3">
      <c r="A286" s="4">
        <v>285</v>
      </c>
      <c r="B286" s="4" t="s">
        <v>40</v>
      </c>
      <c r="C286" s="4" t="s">
        <v>12</v>
      </c>
      <c r="D286" s="4">
        <v>104140</v>
      </c>
      <c r="E286" s="4" t="s">
        <v>26</v>
      </c>
      <c r="F286" s="4" t="s">
        <v>35</v>
      </c>
      <c r="G286" s="4" t="s">
        <v>15</v>
      </c>
      <c r="H286" s="4">
        <v>2</v>
      </c>
      <c r="I286" s="4" t="s">
        <v>16</v>
      </c>
      <c r="J286" s="4" t="s">
        <v>28</v>
      </c>
      <c r="K286" s="4">
        <v>18</v>
      </c>
      <c r="L286" s="4" t="str">
        <f t="shared" si="4"/>
        <v>Adolescent</v>
      </c>
      <c r="M286" s="4" t="s">
        <v>15</v>
      </c>
    </row>
    <row r="287" spans="1:13" x14ac:dyDescent="0.3">
      <c r="A287" s="4">
        <v>286</v>
      </c>
      <c r="B287" s="4" t="s">
        <v>40</v>
      </c>
      <c r="C287" s="4" t="s">
        <v>19</v>
      </c>
      <c r="D287" s="4">
        <v>34607</v>
      </c>
      <c r="E287" s="4" t="s">
        <v>20</v>
      </c>
      <c r="F287" s="4" t="s">
        <v>36</v>
      </c>
      <c r="G287" s="4" t="s">
        <v>15</v>
      </c>
      <c r="H287" s="4">
        <v>2</v>
      </c>
      <c r="I287" s="4" t="s">
        <v>27</v>
      </c>
      <c r="J287" s="4" t="s">
        <v>24</v>
      </c>
      <c r="K287" s="4">
        <v>58</v>
      </c>
      <c r="L287" s="4" t="str">
        <f t="shared" si="4"/>
        <v>Old</v>
      </c>
      <c r="M287" s="4" t="s">
        <v>15</v>
      </c>
    </row>
    <row r="288" spans="1:13" x14ac:dyDescent="0.3">
      <c r="A288" s="4">
        <v>287</v>
      </c>
      <c r="B288" s="4" t="s">
        <v>40</v>
      </c>
      <c r="C288" s="4" t="s">
        <v>19</v>
      </c>
      <c r="D288" s="4">
        <v>62444</v>
      </c>
      <c r="E288" s="4" t="s">
        <v>13</v>
      </c>
      <c r="F288" s="4" t="s">
        <v>14</v>
      </c>
      <c r="G288" s="4" t="s">
        <v>22</v>
      </c>
      <c r="H288" s="4">
        <v>3</v>
      </c>
      <c r="I288" s="4" t="s">
        <v>27</v>
      </c>
      <c r="J288" s="4" t="s">
        <v>17</v>
      </c>
      <c r="K288" s="4">
        <v>44</v>
      </c>
      <c r="L288" s="4" t="str">
        <f t="shared" si="4"/>
        <v>Middle Age</v>
      </c>
      <c r="M288" s="4" t="s">
        <v>15</v>
      </c>
    </row>
    <row r="289" spans="1:13" x14ac:dyDescent="0.3">
      <c r="A289" s="4">
        <v>288</v>
      </c>
      <c r="B289" s="4" t="s">
        <v>40</v>
      </c>
      <c r="C289" s="4" t="s">
        <v>19</v>
      </c>
      <c r="D289" s="4">
        <v>116969</v>
      </c>
      <c r="E289" s="4" t="s">
        <v>31</v>
      </c>
      <c r="F289" s="4" t="s">
        <v>14</v>
      </c>
      <c r="G289" s="4" t="s">
        <v>22</v>
      </c>
      <c r="H289" s="4">
        <v>3</v>
      </c>
      <c r="I289" s="4" t="s">
        <v>27</v>
      </c>
      <c r="J289" s="4" t="s">
        <v>24</v>
      </c>
      <c r="K289" s="4">
        <v>44</v>
      </c>
      <c r="L289" s="4" t="str">
        <f t="shared" si="4"/>
        <v>Middle Age</v>
      </c>
      <c r="M289" s="4" t="s">
        <v>15</v>
      </c>
    </row>
    <row r="290" spans="1:13" x14ac:dyDescent="0.3">
      <c r="A290" s="4">
        <v>289</v>
      </c>
      <c r="B290" s="4" t="s">
        <v>40</v>
      </c>
      <c r="C290" s="4" t="s">
        <v>19</v>
      </c>
      <c r="D290" s="4">
        <v>90626</v>
      </c>
      <c r="E290" s="4" t="s">
        <v>26</v>
      </c>
      <c r="F290" s="4" t="s">
        <v>32</v>
      </c>
      <c r="G290" s="4" t="s">
        <v>15</v>
      </c>
      <c r="H290" s="4">
        <v>3</v>
      </c>
      <c r="I290" s="4" t="s">
        <v>33</v>
      </c>
      <c r="J290" s="4" t="s">
        <v>24</v>
      </c>
      <c r="K290" s="4">
        <v>42</v>
      </c>
      <c r="L290" s="4" t="str">
        <f t="shared" si="4"/>
        <v>Middle Age</v>
      </c>
      <c r="M290" s="4" t="s">
        <v>15</v>
      </c>
    </row>
    <row r="291" spans="1:13" x14ac:dyDescent="0.3">
      <c r="A291" s="4">
        <v>290</v>
      </c>
      <c r="B291" s="4" t="s">
        <v>40</v>
      </c>
      <c r="C291" s="4" t="s">
        <v>19</v>
      </c>
      <c r="D291" s="4">
        <v>27446</v>
      </c>
      <c r="E291" s="4" t="s">
        <v>26</v>
      </c>
      <c r="F291" s="4" t="s">
        <v>36</v>
      </c>
      <c r="G291" s="4" t="s">
        <v>22</v>
      </c>
      <c r="H291" s="4">
        <v>3</v>
      </c>
      <c r="I291" s="4" t="s">
        <v>27</v>
      </c>
      <c r="J291" s="4" t="s">
        <v>34</v>
      </c>
      <c r="K291" s="4">
        <v>37</v>
      </c>
      <c r="L291" s="4" t="str">
        <f t="shared" si="4"/>
        <v>Middle Age</v>
      </c>
      <c r="M291" s="4" t="s">
        <v>15</v>
      </c>
    </row>
    <row r="292" spans="1:13" x14ac:dyDescent="0.3">
      <c r="A292" s="4">
        <v>291</v>
      </c>
      <c r="B292" s="4" t="s">
        <v>41</v>
      </c>
      <c r="C292" s="4" t="s">
        <v>19</v>
      </c>
      <c r="D292" s="4">
        <v>47827</v>
      </c>
      <c r="E292" s="4" t="s">
        <v>31</v>
      </c>
      <c r="F292" s="4" t="s">
        <v>36</v>
      </c>
      <c r="G292" s="4" t="s">
        <v>22</v>
      </c>
      <c r="H292" s="4">
        <v>1</v>
      </c>
      <c r="I292" s="4" t="s">
        <v>37</v>
      </c>
      <c r="J292" s="4" t="s">
        <v>17</v>
      </c>
      <c r="K292" s="4">
        <v>37</v>
      </c>
      <c r="L292" s="4" t="str">
        <f t="shared" si="4"/>
        <v>Middle Age</v>
      </c>
      <c r="M292" s="4" t="s">
        <v>22</v>
      </c>
    </row>
    <row r="293" spans="1:13" x14ac:dyDescent="0.3">
      <c r="A293" s="4">
        <v>292</v>
      </c>
      <c r="B293" s="4" t="s">
        <v>41</v>
      </c>
      <c r="C293" s="4" t="s">
        <v>12</v>
      </c>
      <c r="D293" s="4">
        <v>89539</v>
      </c>
      <c r="E293" s="4" t="s">
        <v>26</v>
      </c>
      <c r="F293" s="4" t="s">
        <v>21</v>
      </c>
      <c r="G293" s="4" t="s">
        <v>22</v>
      </c>
      <c r="H293" s="4">
        <v>0</v>
      </c>
      <c r="I293" s="4" t="s">
        <v>23</v>
      </c>
      <c r="J293" s="4" t="s">
        <v>34</v>
      </c>
      <c r="K293" s="4">
        <v>42</v>
      </c>
      <c r="L293" s="4" t="str">
        <f t="shared" si="4"/>
        <v>Middle Age</v>
      </c>
      <c r="M293" s="4" t="s">
        <v>22</v>
      </c>
    </row>
    <row r="294" spans="1:13" x14ac:dyDescent="0.3">
      <c r="A294" s="4">
        <v>293</v>
      </c>
      <c r="B294" s="4" t="s">
        <v>41</v>
      </c>
      <c r="C294" s="4" t="s">
        <v>12</v>
      </c>
      <c r="D294" s="4">
        <v>54310</v>
      </c>
      <c r="E294" s="4" t="s">
        <v>31</v>
      </c>
      <c r="F294" s="4" t="s">
        <v>35</v>
      </c>
      <c r="G294" s="4" t="s">
        <v>22</v>
      </c>
      <c r="H294" s="4">
        <v>3</v>
      </c>
      <c r="I294" s="4" t="s">
        <v>37</v>
      </c>
      <c r="J294" s="4" t="s">
        <v>28</v>
      </c>
      <c r="K294" s="4">
        <v>35</v>
      </c>
      <c r="L294" s="4" t="str">
        <f t="shared" si="4"/>
        <v>Middle Age</v>
      </c>
      <c r="M294" s="4" t="s">
        <v>15</v>
      </c>
    </row>
    <row r="295" spans="1:13" x14ac:dyDescent="0.3">
      <c r="A295" s="4">
        <v>294</v>
      </c>
      <c r="B295" s="4" t="s">
        <v>40</v>
      </c>
      <c r="C295" s="4" t="s">
        <v>19</v>
      </c>
      <c r="D295" s="4">
        <v>108661</v>
      </c>
      <c r="E295" s="4" t="s">
        <v>31</v>
      </c>
      <c r="F295" s="4" t="s">
        <v>21</v>
      </c>
      <c r="G295" s="4" t="s">
        <v>15</v>
      </c>
      <c r="H295" s="4">
        <v>0</v>
      </c>
      <c r="I295" s="4" t="s">
        <v>33</v>
      </c>
      <c r="J295" s="4" t="s">
        <v>28</v>
      </c>
      <c r="K295" s="4">
        <v>54</v>
      </c>
      <c r="L295" s="4" t="str">
        <f t="shared" si="4"/>
        <v>Middle Age</v>
      </c>
      <c r="M295" s="4" t="s">
        <v>15</v>
      </c>
    </row>
    <row r="296" spans="1:13" x14ac:dyDescent="0.3">
      <c r="A296" s="4">
        <v>295</v>
      </c>
      <c r="B296" s="4" t="s">
        <v>41</v>
      </c>
      <c r="C296" s="4" t="s">
        <v>19</v>
      </c>
      <c r="D296" s="4">
        <v>105789</v>
      </c>
      <c r="E296" s="4" t="s">
        <v>31</v>
      </c>
      <c r="F296" s="4" t="s">
        <v>35</v>
      </c>
      <c r="G296" s="4" t="s">
        <v>15</v>
      </c>
      <c r="H296" s="4">
        <v>0</v>
      </c>
      <c r="I296" s="4" t="s">
        <v>23</v>
      </c>
      <c r="J296" s="4" t="s">
        <v>17</v>
      </c>
      <c r="K296" s="4">
        <v>43</v>
      </c>
      <c r="L296" s="4" t="str">
        <f t="shared" si="4"/>
        <v>Middle Age</v>
      </c>
      <c r="M296" s="4" t="s">
        <v>22</v>
      </c>
    </row>
    <row r="297" spans="1:13" x14ac:dyDescent="0.3">
      <c r="A297" s="4">
        <v>296</v>
      </c>
      <c r="B297" s="4" t="s">
        <v>40</v>
      </c>
      <c r="C297" s="4" t="s">
        <v>19</v>
      </c>
      <c r="D297" s="4">
        <v>20280</v>
      </c>
      <c r="E297" s="4" t="s">
        <v>20</v>
      </c>
      <c r="F297" s="4" t="s">
        <v>36</v>
      </c>
      <c r="G297" s="4" t="s">
        <v>15</v>
      </c>
      <c r="H297" s="4">
        <v>0</v>
      </c>
      <c r="I297" s="4" t="s">
        <v>23</v>
      </c>
      <c r="J297" s="4" t="s">
        <v>34</v>
      </c>
      <c r="K297" s="4">
        <v>49</v>
      </c>
      <c r="L297" s="4" t="str">
        <f t="shared" si="4"/>
        <v>Middle Age</v>
      </c>
      <c r="M297" s="4" t="s">
        <v>15</v>
      </c>
    </row>
    <row r="298" spans="1:13" x14ac:dyDescent="0.3">
      <c r="A298" s="4">
        <v>297</v>
      </c>
      <c r="B298" s="4" t="s">
        <v>41</v>
      </c>
      <c r="C298" s="4" t="s">
        <v>19</v>
      </c>
      <c r="D298" s="4">
        <v>32791</v>
      </c>
      <c r="E298" s="4" t="s">
        <v>20</v>
      </c>
      <c r="F298" s="4" t="s">
        <v>21</v>
      </c>
      <c r="G298" s="4" t="s">
        <v>15</v>
      </c>
      <c r="H298" s="4">
        <v>3</v>
      </c>
      <c r="I298" s="4" t="s">
        <v>23</v>
      </c>
      <c r="J298" s="4" t="s">
        <v>28</v>
      </c>
      <c r="K298" s="4">
        <v>58</v>
      </c>
      <c r="L298" s="4" t="str">
        <f t="shared" si="4"/>
        <v>Old</v>
      </c>
      <c r="M298" s="4" t="s">
        <v>15</v>
      </c>
    </row>
    <row r="299" spans="1:13" x14ac:dyDescent="0.3">
      <c r="A299" s="4">
        <v>298</v>
      </c>
      <c r="B299" s="4" t="s">
        <v>40</v>
      </c>
      <c r="C299" s="4" t="s">
        <v>12</v>
      </c>
      <c r="D299" s="4">
        <v>42991</v>
      </c>
      <c r="E299" s="4" t="s">
        <v>13</v>
      </c>
      <c r="F299" s="4" t="s">
        <v>35</v>
      </c>
      <c r="G299" s="4" t="s">
        <v>15</v>
      </c>
      <c r="H299" s="4">
        <v>0</v>
      </c>
      <c r="I299" s="4" t="s">
        <v>37</v>
      </c>
      <c r="J299" s="4" t="s">
        <v>34</v>
      </c>
      <c r="K299" s="4">
        <v>23</v>
      </c>
      <c r="L299" s="4" t="str">
        <f t="shared" si="4"/>
        <v>Adolescent</v>
      </c>
      <c r="M299" s="4" t="s">
        <v>15</v>
      </c>
    </row>
    <row r="300" spans="1:13" x14ac:dyDescent="0.3">
      <c r="A300" s="4">
        <v>299</v>
      </c>
      <c r="B300" s="4" t="s">
        <v>41</v>
      </c>
      <c r="C300" s="4" t="s">
        <v>19</v>
      </c>
      <c r="D300" s="4">
        <v>104545</v>
      </c>
      <c r="E300" s="4" t="s">
        <v>31</v>
      </c>
      <c r="F300" s="4" t="s">
        <v>14</v>
      </c>
      <c r="G300" s="4" t="s">
        <v>15</v>
      </c>
      <c r="H300" s="4">
        <v>1</v>
      </c>
      <c r="I300" s="4" t="s">
        <v>16</v>
      </c>
      <c r="J300" s="4" t="s">
        <v>24</v>
      </c>
      <c r="K300" s="4">
        <v>43</v>
      </c>
      <c r="L300" s="4" t="str">
        <f t="shared" si="4"/>
        <v>Middle Age</v>
      </c>
      <c r="M300" s="4" t="s">
        <v>22</v>
      </c>
    </row>
    <row r="301" spans="1:13" x14ac:dyDescent="0.3">
      <c r="A301" s="4">
        <v>300</v>
      </c>
      <c r="B301" s="4" t="s">
        <v>40</v>
      </c>
      <c r="C301" s="4" t="s">
        <v>19</v>
      </c>
      <c r="D301" s="4">
        <v>81137</v>
      </c>
      <c r="E301" s="4" t="s">
        <v>20</v>
      </c>
      <c r="F301" s="4" t="s">
        <v>32</v>
      </c>
      <c r="G301" s="4" t="s">
        <v>22</v>
      </c>
      <c r="H301" s="4">
        <v>3</v>
      </c>
      <c r="I301" s="4" t="s">
        <v>27</v>
      </c>
      <c r="J301" s="4" t="s">
        <v>34</v>
      </c>
      <c r="K301" s="4">
        <v>25</v>
      </c>
      <c r="L301" s="4" t="str">
        <f t="shared" si="4"/>
        <v>Adolescent</v>
      </c>
      <c r="M301" s="4" t="s">
        <v>15</v>
      </c>
    </row>
    <row r="302" spans="1:13" x14ac:dyDescent="0.3">
      <c r="A302" s="4">
        <v>301</v>
      </c>
      <c r="B302" s="4" t="s">
        <v>40</v>
      </c>
      <c r="C302" s="4" t="s">
        <v>12</v>
      </c>
      <c r="D302" s="4">
        <v>93360</v>
      </c>
      <c r="E302" s="4" t="s">
        <v>20</v>
      </c>
      <c r="F302" s="4" t="s">
        <v>14</v>
      </c>
      <c r="G302" s="4" t="s">
        <v>15</v>
      </c>
      <c r="H302" s="4">
        <v>0</v>
      </c>
      <c r="I302" s="4" t="s">
        <v>16</v>
      </c>
      <c r="J302" s="4" t="s">
        <v>17</v>
      </c>
      <c r="K302" s="4">
        <v>41</v>
      </c>
      <c r="L302" s="4" t="str">
        <f t="shared" si="4"/>
        <v>Middle Age</v>
      </c>
      <c r="M302" s="4" t="s">
        <v>22</v>
      </c>
    </row>
    <row r="303" spans="1:13" x14ac:dyDescent="0.3">
      <c r="A303" s="4">
        <v>302</v>
      </c>
      <c r="B303" s="4" t="s">
        <v>40</v>
      </c>
      <c r="C303" s="4" t="s">
        <v>12</v>
      </c>
      <c r="D303" s="4">
        <v>81407</v>
      </c>
      <c r="E303" s="4" t="s">
        <v>31</v>
      </c>
      <c r="F303" s="4" t="s">
        <v>36</v>
      </c>
      <c r="G303" s="4" t="s">
        <v>22</v>
      </c>
      <c r="H303" s="4">
        <v>1</v>
      </c>
      <c r="I303" s="4" t="s">
        <v>23</v>
      </c>
      <c r="J303" s="4" t="s">
        <v>24</v>
      </c>
      <c r="K303" s="4">
        <v>42</v>
      </c>
      <c r="L303" s="4" t="str">
        <f t="shared" si="4"/>
        <v>Middle Age</v>
      </c>
      <c r="M303" s="4" t="s">
        <v>22</v>
      </c>
    </row>
    <row r="304" spans="1:13" x14ac:dyDescent="0.3">
      <c r="A304" s="4">
        <v>303</v>
      </c>
      <c r="B304" s="4" t="s">
        <v>40</v>
      </c>
      <c r="C304" s="4" t="s">
        <v>12</v>
      </c>
      <c r="D304" s="4">
        <v>100585</v>
      </c>
      <c r="E304" s="4" t="s">
        <v>13</v>
      </c>
      <c r="F304" s="4" t="s">
        <v>35</v>
      </c>
      <c r="G304" s="4" t="s">
        <v>22</v>
      </c>
      <c r="H304" s="4">
        <v>2</v>
      </c>
      <c r="I304" s="4" t="s">
        <v>33</v>
      </c>
      <c r="J304" s="4" t="s">
        <v>34</v>
      </c>
      <c r="K304" s="4">
        <v>34</v>
      </c>
      <c r="L304" s="4" t="str">
        <f t="shared" si="4"/>
        <v>Middle Age</v>
      </c>
      <c r="M304" s="4" t="s">
        <v>22</v>
      </c>
    </row>
    <row r="305" spans="1:13" x14ac:dyDescent="0.3">
      <c r="A305" s="4">
        <v>304</v>
      </c>
      <c r="B305" s="4" t="s">
        <v>40</v>
      </c>
      <c r="C305" s="4" t="s">
        <v>19</v>
      </c>
      <c r="D305" s="4">
        <v>56335</v>
      </c>
      <c r="E305" s="4" t="s">
        <v>20</v>
      </c>
      <c r="F305" s="4" t="s">
        <v>32</v>
      </c>
      <c r="G305" s="4" t="s">
        <v>22</v>
      </c>
      <c r="H305" s="4">
        <v>2</v>
      </c>
      <c r="I305" s="4" t="s">
        <v>23</v>
      </c>
      <c r="J305" s="4" t="s">
        <v>17</v>
      </c>
      <c r="K305" s="4">
        <v>59</v>
      </c>
      <c r="L305" s="4" t="str">
        <f t="shared" si="4"/>
        <v>Old</v>
      </c>
      <c r="M305" s="4" t="s">
        <v>15</v>
      </c>
    </row>
    <row r="306" spans="1:13" x14ac:dyDescent="0.3">
      <c r="A306" s="4">
        <v>305</v>
      </c>
      <c r="B306" s="4" t="s">
        <v>40</v>
      </c>
      <c r="C306" s="4" t="s">
        <v>12</v>
      </c>
      <c r="D306" s="4">
        <v>46800</v>
      </c>
      <c r="E306" s="4" t="s">
        <v>26</v>
      </c>
      <c r="F306" s="4" t="s">
        <v>36</v>
      </c>
      <c r="G306" s="4" t="s">
        <v>15</v>
      </c>
      <c r="H306" s="4">
        <v>1</v>
      </c>
      <c r="I306" s="4" t="s">
        <v>33</v>
      </c>
      <c r="J306" s="4" t="s">
        <v>24</v>
      </c>
      <c r="K306" s="4">
        <v>53</v>
      </c>
      <c r="L306" s="4" t="str">
        <f t="shared" si="4"/>
        <v>Middle Age</v>
      </c>
      <c r="M306" s="4" t="s">
        <v>15</v>
      </c>
    </row>
    <row r="307" spans="1:13" x14ac:dyDescent="0.3">
      <c r="A307" s="4">
        <v>306</v>
      </c>
      <c r="B307" s="4" t="s">
        <v>40</v>
      </c>
      <c r="C307" s="4" t="s">
        <v>19</v>
      </c>
      <c r="D307" s="4">
        <v>81950</v>
      </c>
      <c r="E307" s="4" t="s">
        <v>20</v>
      </c>
      <c r="F307" s="4" t="s">
        <v>35</v>
      </c>
      <c r="G307" s="4" t="s">
        <v>15</v>
      </c>
      <c r="H307" s="4">
        <v>3</v>
      </c>
      <c r="I307" s="4" t="s">
        <v>23</v>
      </c>
      <c r="J307" s="4" t="s">
        <v>28</v>
      </c>
      <c r="K307" s="4">
        <v>44</v>
      </c>
      <c r="L307" s="4" t="str">
        <f t="shared" si="4"/>
        <v>Middle Age</v>
      </c>
      <c r="M307" s="4" t="s">
        <v>15</v>
      </c>
    </row>
    <row r="308" spans="1:13" x14ac:dyDescent="0.3">
      <c r="A308" s="4">
        <v>307</v>
      </c>
      <c r="B308" s="4" t="s">
        <v>40</v>
      </c>
      <c r="C308" s="4" t="s">
        <v>12</v>
      </c>
      <c r="D308" s="4">
        <v>73674</v>
      </c>
      <c r="E308" s="4" t="s">
        <v>20</v>
      </c>
      <c r="F308" s="4" t="s">
        <v>32</v>
      </c>
      <c r="G308" s="4" t="s">
        <v>15</v>
      </c>
      <c r="H308" s="4">
        <v>0</v>
      </c>
      <c r="I308" s="4" t="s">
        <v>16</v>
      </c>
      <c r="J308" s="4" t="s">
        <v>34</v>
      </c>
      <c r="K308" s="4">
        <v>19</v>
      </c>
      <c r="L308" s="4" t="str">
        <f t="shared" si="4"/>
        <v>Adolescent</v>
      </c>
      <c r="M308" s="4" t="s">
        <v>22</v>
      </c>
    </row>
    <row r="309" spans="1:13" x14ac:dyDescent="0.3">
      <c r="A309" s="4">
        <v>308</v>
      </c>
      <c r="B309" s="4" t="s">
        <v>40</v>
      </c>
      <c r="C309" s="4" t="s">
        <v>19</v>
      </c>
      <c r="D309" s="4">
        <v>24360</v>
      </c>
      <c r="E309" s="4" t="s">
        <v>20</v>
      </c>
      <c r="F309" s="4" t="s">
        <v>36</v>
      </c>
      <c r="G309" s="4" t="s">
        <v>22</v>
      </c>
      <c r="H309" s="4">
        <v>1</v>
      </c>
      <c r="I309" s="4" t="s">
        <v>23</v>
      </c>
      <c r="J309" s="4" t="s">
        <v>28</v>
      </c>
      <c r="K309" s="4">
        <v>59</v>
      </c>
      <c r="L309" s="4" t="str">
        <f t="shared" si="4"/>
        <v>Old</v>
      </c>
      <c r="M309" s="4" t="s">
        <v>15</v>
      </c>
    </row>
    <row r="310" spans="1:13" x14ac:dyDescent="0.3">
      <c r="A310" s="4">
        <v>309</v>
      </c>
      <c r="B310" s="4" t="s">
        <v>40</v>
      </c>
      <c r="C310" s="4" t="s">
        <v>12</v>
      </c>
      <c r="D310" s="4">
        <v>105344</v>
      </c>
      <c r="E310" s="4" t="s">
        <v>26</v>
      </c>
      <c r="F310" s="4" t="s">
        <v>21</v>
      </c>
      <c r="G310" s="4" t="s">
        <v>15</v>
      </c>
      <c r="H310" s="4">
        <v>0</v>
      </c>
      <c r="I310" s="4" t="s">
        <v>16</v>
      </c>
      <c r="J310" s="4" t="s">
        <v>17</v>
      </c>
      <c r="K310" s="4">
        <v>28</v>
      </c>
      <c r="L310" s="4" t="str">
        <f t="shared" si="4"/>
        <v>Adolescent</v>
      </c>
      <c r="M310" s="4" t="s">
        <v>22</v>
      </c>
    </row>
    <row r="311" spans="1:13" x14ac:dyDescent="0.3">
      <c r="A311" s="4">
        <v>310</v>
      </c>
      <c r="B311" s="4" t="s">
        <v>40</v>
      </c>
      <c r="C311" s="4" t="s">
        <v>12</v>
      </c>
      <c r="D311" s="4">
        <v>36646</v>
      </c>
      <c r="E311" s="4" t="s">
        <v>31</v>
      </c>
      <c r="F311" s="4" t="s">
        <v>14</v>
      </c>
      <c r="G311" s="4" t="s">
        <v>22</v>
      </c>
      <c r="H311" s="4">
        <v>0</v>
      </c>
      <c r="I311" s="4" t="s">
        <v>37</v>
      </c>
      <c r="J311" s="4" t="s">
        <v>34</v>
      </c>
      <c r="K311" s="4">
        <v>40</v>
      </c>
      <c r="L311" s="4" t="str">
        <f t="shared" si="4"/>
        <v>Middle Age</v>
      </c>
      <c r="M311" s="4" t="s">
        <v>15</v>
      </c>
    </row>
    <row r="312" spans="1:13" x14ac:dyDescent="0.3">
      <c r="A312" s="4">
        <v>311</v>
      </c>
      <c r="B312" s="4" t="s">
        <v>40</v>
      </c>
      <c r="C312" s="4" t="s">
        <v>12</v>
      </c>
      <c r="D312" s="4">
        <v>104127</v>
      </c>
      <c r="E312" s="4" t="s">
        <v>20</v>
      </c>
      <c r="F312" s="4" t="s">
        <v>35</v>
      </c>
      <c r="G312" s="4" t="s">
        <v>15</v>
      </c>
      <c r="H312" s="4">
        <v>1</v>
      </c>
      <c r="I312" s="4" t="s">
        <v>37</v>
      </c>
      <c r="J312" s="4" t="s">
        <v>24</v>
      </c>
      <c r="K312" s="4">
        <v>41</v>
      </c>
      <c r="L312" s="4" t="str">
        <f t="shared" si="4"/>
        <v>Middle Age</v>
      </c>
      <c r="M312" s="4" t="s">
        <v>15</v>
      </c>
    </row>
    <row r="313" spans="1:13" x14ac:dyDescent="0.3">
      <c r="A313" s="4">
        <v>312</v>
      </c>
      <c r="B313" s="4" t="s">
        <v>40</v>
      </c>
      <c r="C313" s="4" t="s">
        <v>12</v>
      </c>
      <c r="D313" s="4">
        <v>89449</v>
      </c>
      <c r="E313" s="4" t="s">
        <v>31</v>
      </c>
      <c r="F313" s="4" t="s">
        <v>14</v>
      </c>
      <c r="G313" s="4" t="s">
        <v>22</v>
      </c>
      <c r="H313" s="4">
        <v>1</v>
      </c>
      <c r="I313" s="4" t="s">
        <v>37</v>
      </c>
      <c r="J313" s="4" t="s">
        <v>34</v>
      </c>
      <c r="K313" s="4">
        <v>35</v>
      </c>
      <c r="L313" s="4" t="str">
        <f t="shared" si="4"/>
        <v>Middle Age</v>
      </c>
      <c r="M313" s="4" t="s">
        <v>15</v>
      </c>
    </row>
    <row r="314" spans="1:13" x14ac:dyDescent="0.3">
      <c r="A314" s="4">
        <v>313</v>
      </c>
      <c r="B314" s="4" t="s">
        <v>43</v>
      </c>
      <c r="C314" s="4" t="s">
        <v>19</v>
      </c>
      <c r="D314" s="4">
        <v>20716</v>
      </c>
      <c r="E314" s="4" t="s">
        <v>20</v>
      </c>
      <c r="F314" s="4" t="s">
        <v>14</v>
      </c>
      <c r="G314" s="4" t="s">
        <v>15</v>
      </c>
      <c r="H314" s="4">
        <v>2</v>
      </c>
      <c r="I314" s="4" t="s">
        <v>27</v>
      </c>
      <c r="J314" s="4" t="s">
        <v>34</v>
      </c>
      <c r="K314" s="4">
        <v>52</v>
      </c>
      <c r="L314" s="4" t="str">
        <f t="shared" si="4"/>
        <v>Middle Age</v>
      </c>
      <c r="M314" s="4" t="s">
        <v>15</v>
      </c>
    </row>
    <row r="315" spans="1:13" x14ac:dyDescent="0.3">
      <c r="A315" s="4">
        <v>314</v>
      </c>
      <c r="B315" s="4" t="s">
        <v>43</v>
      </c>
      <c r="C315" s="4" t="s">
        <v>19</v>
      </c>
      <c r="D315" s="4">
        <v>25140</v>
      </c>
      <c r="E315" s="4" t="s">
        <v>20</v>
      </c>
      <c r="F315" s="4" t="s">
        <v>36</v>
      </c>
      <c r="G315" s="4" t="s">
        <v>15</v>
      </c>
      <c r="H315" s="4">
        <v>3</v>
      </c>
      <c r="I315" s="4" t="s">
        <v>23</v>
      </c>
      <c r="J315" s="4" t="s">
        <v>17</v>
      </c>
      <c r="K315" s="4">
        <v>32</v>
      </c>
      <c r="L315" s="4" t="str">
        <f t="shared" si="4"/>
        <v>Middle Age</v>
      </c>
      <c r="M315" s="4" t="s">
        <v>15</v>
      </c>
    </row>
    <row r="316" spans="1:13" x14ac:dyDescent="0.3">
      <c r="A316" s="4">
        <v>315</v>
      </c>
      <c r="B316" s="4" t="s">
        <v>43</v>
      </c>
      <c r="C316" s="4" t="s">
        <v>12</v>
      </c>
      <c r="D316" s="4">
        <v>53990</v>
      </c>
      <c r="E316" s="4" t="s">
        <v>26</v>
      </c>
      <c r="F316" s="4" t="s">
        <v>35</v>
      </c>
      <c r="G316" s="4" t="s">
        <v>22</v>
      </c>
      <c r="H316" s="4">
        <v>1</v>
      </c>
      <c r="I316" s="4" t="s">
        <v>16</v>
      </c>
      <c r="J316" s="4" t="s">
        <v>24</v>
      </c>
      <c r="K316" s="4">
        <v>21</v>
      </c>
      <c r="L316" s="4" t="str">
        <f t="shared" si="4"/>
        <v>Adolescent</v>
      </c>
      <c r="M316" s="4" t="s">
        <v>15</v>
      </c>
    </row>
    <row r="317" spans="1:13" x14ac:dyDescent="0.3">
      <c r="A317" s="4">
        <v>316</v>
      </c>
      <c r="B317" s="4" t="s">
        <v>43</v>
      </c>
      <c r="C317" s="4" t="s">
        <v>12</v>
      </c>
      <c r="D317" s="4">
        <v>90173</v>
      </c>
      <c r="E317" s="4" t="s">
        <v>20</v>
      </c>
      <c r="F317" s="4" t="s">
        <v>36</v>
      </c>
      <c r="G317" s="4" t="s">
        <v>22</v>
      </c>
      <c r="H317" s="4">
        <v>3</v>
      </c>
      <c r="I317" s="4" t="s">
        <v>37</v>
      </c>
      <c r="J317" s="4" t="s">
        <v>24</v>
      </c>
      <c r="K317" s="4">
        <v>47</v>
      </c>
      <c r="L317" s="4" t="str">
        <f t="shared" si="4"/>
        <v>Middle Age</v>
      </c>
      <c r="M317" s="4" t="s">
        <v>15</v>
      </c>
    </row>
    <row r="318" spans="1:13" x14ac:dyDescent="0.3">
      <c r="A318" s="4">
        <v>317</v>
      </c>
      <c r="B318" s="4" t="s">
        <v>43</v>
      </c>
      <c r="C318" s="4" t="s">
        <v>12</v>
      </c>
      <c r="D318" s="4">
        <v>99962</v>
      </c>
      <c r="E318" s="4" t="s">
        <v>20</v>
      </c>
      <c r="F318" s="4" t="s">
        <v>35</v>
      </c>
      <c r="G318" s="4" t="s">
        <v>22</v>
      </c>
      <c r="H318" s="4">
        <v>3</v>
      </c>
      <c r="I318" s="4" t="s">
        <v>37</v>
      </c>
      <c r="J318" s="4" t="s">
        <v>34</v>
      </c>
      <c r="K318" s="4">
        <v>37</v>
      </c>
      <c r="L318" s="4" t="str">
        <f t="shared" si="4"/>
        <v>Middle Age</v>
      </c>
      <c r="M318" s="4" t="s">
        <v>15</v>
      </c>
    </row>
    <row r="319" spans="1:13" x14ac:dyDescent="0.3">
      <c r="A319" s="4">
        <v>318</v>
      </c>
      <c r="B319" s="4" t="s">
        <v>43</v>
      </c>
      <c r="C319" s="4" t="s">
        <v>12</v>
      </c>
      <c r="D319" s="4">
        <v>47959</v>
      </c>
      <c r="E319" s="4" t="s">
        <v>13</v>
      </c>
      <c r="F319" s="4" t="s">
        <v>36</v>
      </c>
      <c r="G319" s="4" t="s">
        <v>15</v>
      </c>
      <c r="H319" s="4">
        <v>1</v>
      </c>
      <c r="I319" s="4" t="s">
        <v>16</v>
      </c>
      <c r="J319" s="4" t="s">
        <v>34</v>
      </c>
      <c r="K319" s="4">
        <v>56</v>
      </c>
      <c r="L319" s="4" t="str">
        <f t="shared" si="4"/>
        <v>Old</v>
      </c>
      <c r="M319" s="4" t="s">
        <v>15</v>
      </c>
    </row>
    <row r="320" spans="1:13" x14ac:dyDescent="0.3">
      <c r="A320" s="4">
        <v>319</v>
      </c>
      <c r="B320" s="4" t="s">
        <v>40</v>
      </c>
      <c r="C320" s="4" t="s">
        <v>12</v>
      </c>
      <c r="D320" s="4">
        <v>73798</v>
      </c>
      <c r="E320" s="4" t="s">
        <v>20</v>
      </c>
      <c r="F320" s="4" t="s">
        <v>14</v>
      </c>
      <c r="G320" s="4" t="s">
        <v>15</v>
      </c>
      <c r="H320" s="4">
        <v>1</v>
      </c>
      <c r="I320" s="4" t="s">
        <v>33</v>
      </c>
      <c r="J320" s="4" t="s">
        <v>17</v>
      </c>
      <c r="K320" s="4">
        <v>37</v>
      </c>
      <c r="L320" s="4" t="str">
        <f t="shared" si="4"/>
        <v>Middle Age</v>
      </c>
      <c r="M320" s="4" t="s">
        <v>22</v>
      </c>
    </row>
    <row r="321" spans="1:13" x14ac:dyDescent="0.3">
      <c r="A321" s="4">
        <v>320</v>
      </c>
      <c r="B321" s="4" t="s">
        <v>40</v>
      </c>
      <c r="C321" s="4" t="s">
        <v>19</v>
      </c>
      <c r="D321" s="4">
        <v>116897</v>
      </c>
      <c r="E321" s="4" t="s">
        <v>13</v>
      </c>
      <c r="F321" s="4" t="s">
        <v>36</v>
      </c>
      <c r="G321" s="4" t="s">
        <v>22</v>
      </c>
      <c r="H321" s="4">
        <v>1</v>
      </c>
      <c r="I321" s="4" t="s">
        <v>23</v>
      </c>
      <c r="J321" s="4" t="s">
        <v>34</v>
      </c>
      <c r="K321" s="4">
        <v>47</v>
      </c>
      <c r="L321" s="4" t="str">
        <f t="shared" si="4"/>
        <v>Middle Age</v>
      </c>
      <c r="M321" s="4" t="s">
        <v>15</v>
      </c>
    </row>
    <row r="322" spans="1:13" x14ac:dyDescent="0.3">
      <c r="A322" s="4">
        <v>321</v>
      </c>
      <c r="B322" s="4" t="s">
        <v>40</v>
      </c>
      <c r="C322" s="4" t="s">
        <v>19</v>
      </c>
      <c r="D322" s="4">
        <v>61611</v>
      </c>
      <c r="E322" s="4" t="s">
        <v>26</v>
      </c>
      <c r="F322" s="4" t="s">
        <v>21</v>
      </c>
      <c r="G322" s="4" t="s">
        <v>22</v>
      </c>
      <c r="H322" s="4">
        <v>3</v>
      </c>
      <c r="I322" s="4" t="s">
        <v>37</v>
      </c>
      <c r="J322" s="4" t="s">
        <v>17</v>
      </c>
      <c r="K322" s="4">
        <v>33</v>
      </c>
      <c r="L322" s="4" t="str">
        <f t="shared" ref="L322:L385" si="5">IF(K322&gt;54,"Old",IF(K322&gt;31,"Middle Age",IF(K322&lt;31,"Adolescent","Invalid")))</f>
        <v>Middle Age</v>
      </c>
      <c r="M322" s="4" t="s">
        <v>15</v>
      </c>
    </row>
    <row r="323" spans="1:13" x14ac:dyDescent="0.3">
      <c r="A323" s="4">
        <v>322</v>
      </c>
      <c r="B323" s="4" t="s">
        <v>40</v>
      </c>
      <c r="C323" s="4" t="s">
        <v>19</v>
      </c>
      <c r="D323" s="4">
        <v>88392</v>
      </c>
      <c r="E323" s="4" t="s">
        <v>20</v>
      </c>
      <c r="F323" s="4" t="s">
        <v>35</v>
      </c>
      <c r="G323" s="4" t="s">
        <v>15</v>
      </c>
      <c r="H323" s="4">
        <v>2</v>
      </c>
      <c r="I323" s="4" t="s">
        <v>33</v>
      </c>
      <c r="J323" s="4" t="s">
        <v>34</v>
      </c>
      <c r="K323" s="4">
        <v>52</v>
      </c>
      <c r="L323" s="4" t="str">
        <f t="shared" si="5"/>
        <v>Middle Age</v>
      </c>
      <c r="M323" s="4" t="s">
        <v>15</v>
      </c>
    </row>
    <row r="324" spans="1:13" x14ac:dyDescent="0.3">
      <c r="A324" s="4">
        <v>323</v>
      </c>
      <c r="B324" s="4" t="s">
        <v>40</v>
      </c>
      <c r="C324" s="4" t="s">
        <v>19</v>
      </c>
      <c r="D324" s="4">
        <v>82434</v>
      </c>
      <c r="E324" s="4" t="s">
        <v>20</v>
      </c>
      <c r="F324" s="4" t="s">
        <v>36</v>
      </c>
      <c r="G324" s="4" t="s">
        <v>15</v>
      </c>
      <c r="H324" s="4">
        <v>0</v>
      </c>
      <c r="I324" s="4" t="s">
        <v>23</v>
      </c>
      <c r="J324" s="4" t="s">
        <v>28</v>
      </c>
      <c r="K324" s="4">
        <v>31</v>
      </c>
      <c r="L324" s="4" t="str">
        <f t="shared" si="5"/>
        <v>Invalid</v>
      </c>
      <c r="M324" s="4" t="s">
        <v>22</v>
      </c>
    </row>
    <row r="325" spans="1:13" x14ac:dyDescent="0.3">
      <c r="A325" s="4">
        <v>324</v>
      </c>
      <c r="B325" s="4" t="s">
        <v>40</v>
      </c>
      <c r="C325" s="4" t="s">
        <v>12</v>
      </c>
      <c r="D325" s="4">
        <v>26399</v>
      </c>
      <c r="E325" s="4" t="s">
        <v>20</v>
      </c>
      <c r="F325" s="4" t="s">
        <v>21</v>
      </c>
      <c r="G325" s="4" t="s">
        <v>15</v>
      </c>
      <c r="H325" s="4">
        <v>2</v>
      </c>
      <c r="I325" s="4" t="s">
        <v>27</v>
      </c>
      <c r="J325" s="4" t="s">
        <v>34</v>
      </c>
      <c r="K325" s="4">
        <v>35</v>
      </c>
      <c r="L325" s="4" t="str">
        <f t="shared" si="5"/>
        <v>Middle Age</v>
      </c>
      <c r="M325" s="4" t="s">
        <v>15</v>
      </c>
    </row>
    <row r="326" spans="1:13" x14ac:dyDescent="0.3">
      <c r="A326" s="4">
        <v>325</v>
      </c>
      <c r="B326" s="4" t="s">
        <v>40</v>
      </c>
      <c r="C326" s="4" t="s">
        <v>19</v>
      </c>
      <c r="D326" s="4">
        <v>29675</v>
      </c>
      <c r="E326" s="4" t="s">
        <v>13</v>
      </c>
      <c r="F326" s="4" t="s">
        <v>35</v>
      </c>
      <c r="G326" s="4" t="s">
        <v>22</v>
      </c>
      <c r="H326" s="4">
        <v>1</v>
      </c>
      <c r="I326" s="4" t="s">
        <v>37</v>
      </c>
      <c r="J326" s="4" t="s">
        <v>24</v>
      </c>
      <c r="K326" s="4">
        <v>44</v>
      </c>
      <c r="L326" s="4" t="str">
        <f t="shared" si="5"/>
        <v>Middle Age</v>
      </c>
      <c r="M326" s="4" t="s">
        <v>15</v>
      </c>
    </row>
    <row r="327" spans="1:13" x14ac:dyDescent="0.3">
      <c r="A327" s="4">
        <v>326</v>
      </c>
      <c r="B327" s="4" t="s">
        <v>41</v>
      </c>
      <c r="C327" s="4" t="s">
        <v>19</v>
      </c>
      <c r="D327" s="4">
        <v>79211</v>
      </c>
      <c r="E327" s="4" t="s">
        <v>26</v>
      </c>
      <c r="F327" s="4" t="s">
        <v>35</v>
      </c>
      <c r="G327" s="4" t="s">
        <v>22</v>
      </c>
      <c r="H327" s="4">
        <v>2</v>
      </c>
      <c r="I327" s="4" t="s">
        <v>33</v>
      </c>
      <c r="J327" s="4" t="s">
        <v>24</v>
      </c>
      <c r="K327" s="4">
        <v>31</v>
      </c>
      <c r="L327" s="4" t="str">
        <f t="shared" si="5"/>
        <v>Invalid</v>
      </c>
      <c r="M327" s="4" t="s">
        <v>22</v>
      </c>
    </row>
    <row r="328" spans="1:13" x14ac:dyDescent="0.3">
      <c r="A328" s="4">
        <v>327</v>
      </c>
      <c r="B328" s="4" t="s">
        <v>41</v>
      </c>
      <c r="C328" s="4" t="s">
        <v>19</v>
      </c>
      <c r="D328" s="4">
        <v>110647</v>
      </c>
      <c r="E328" s="4" t="s">
        <v>31</v>
      </c>
      <c r="F328" s="4" t="s">
        <v>21</v>
      </c>
      <c r="G328" s="4" t="s">
        <v>22</v>
      </c>
      <c r="H328" s="4">
        <v>0</v>
      </c>
      <c r="I328" s="4" t="s">
        <v>37</v>
      </c>
      <c r="J328" s="4" t="s">
        <v>28</v>
      </c>
      <c r="K328" s="4">
        <v>36</v>
      </c>
      <c r="L328" s="4" t="str">
        <f t="shared" si="5"/>
        <v>Middle Age</v>
      </c>
      <c r="M328" s="4" t="s">
        <v>15</v>
      </c>
    </row>
    <row r="329" spans="1:13" x14ac:dyDescent="0.3">
      <c r="A329" s="4">
        <v>328</v>
      </c>
      <c r="B329" s="4" t="s">
        <v>41</v>
      </c>
      <c r="C329" s="4" t="s">
        <v>19</v>
      </c>
      <c r="D329" s="4">
        <v>118149</v>
      </c>
      <c r="E329" s="4" t="s">
        <v>20</v>
      </c>
      <c r="F329" s="4" t="s">
        <v>35</v>
      </c>
      <c r="G329" s="4" t="s">
        <v>22</v>
      </c>
      <c r="H329" s="4">
        <v>1</v>
      </c>
      <c r="I329" s="4" t="s">
        <v>16</v>
      </c>
      <c r="J329" s="4" t="s">
        <v>34</v>
      </c>
      <c r="K329" s="4">
        <v>22</v>
      </c>
      <c r="L329" s="4" t="str">
        <f t="shared" si="5"/>
        <v>Adolescent</v>
      </c>
      <c r="M329" s="4" t="s">
        <v>15</v>
      </c>
    </row>
    <row r="330" spans="1:13" x14ac:dyDescent="0.3">
      <c r="A330" s="4">
        <v>329</v>
      </c>
      <c r="B330" s="4" t="s">
        <v>41</v>
      </c>
      <c r="C330" s="4" t="s">
        <v>12</v>
      </c>
      <c r="D330" s="4">
        <v>36666</v>
      </c>
      <c r="E330" s="4" t="s">
        <v>13</v>
      </c>
      <c r="F330" s="4" t="s">
        <v>14</v>
      </c>
      <c r="G330" s="4" t="s">
        <v>22</v>
      </c>
      <c r="H330" s="4">
        <v>0</v>
      </c>
      <c r="I330" s="4" t="s">
        <v>23</v>
      </c>
      <c r="J330" s="4" t="s">
        <v>24</v>
      </c>
      <c r="K330" s="4">
        <v>48</v>
      </c>
      <c r="L330" s="4" t="str">
        <f t="shared" si="5"/>
        <v>Middle Age</v>
      </c>
      <c r="M330" s="4" t="s">
        <v>15</v>
      </c>
    </row>
    <row r="331" spans="1:13" x14ac:dyDescent="0.3">
      <c r="A331" s="4">
        <v>330</v>
      </c>
      <c r="B331" s="4" t="s">
        <v>41</v>
      </c>
      <c r="C331" s="4" t="s">
        <v>19</v>
      </c>
      <c r="D331" s="4">
        <v>80267</v>
      </c>
      <c r="E331" s="4" t="s">
        <v>26</v>
      </c>
      <c r="F331" s="4" t="s">
        <v>35</v>
      </c>
      <c r="G331" s="4" t="s">
        <v>22</v>
      </c>
      <c r="H331" s="4">
        <v>2</v>
      </c>
      <c r="I331" s="4" t="s">
        <v>27</v>
      </c>
      <c r="J331" s="4" t="s">
        <v>28</v>
      </c>
      <c r="K331" s="4">
        <v>36</v>
      </c>
      <c r="L331" s="4" t="str">
        <f t="shared" si="5"/>
        <v>Middle Age</v>
      </c>
      <c r="M331" s="4" t="s">
        <v>22</v>
      </c>
    </row>
    <row r="332" spans="1:13" x14ac:dyDescent="0.3">
      <c r="A332" s="4">
        <v>331</v>
      </c>
      <c r="B332" s="4" t="s">
        <v>41</v>
      </c>
      <c r="C332" s="4" t="s">
        <v>12</v>
      </c>
      <c r="D332" s="4">
        <v>104234</v>
      </c>
      <c r="E332" s="4" t="s">
        <v>31</v>
      </c>
      <c r="F332" s="4" t="s">
        <v>14</v>
      </c>
      <c r="G332" s="4" t="s">
        <v>22</v>
      </c>
      <c r="H332" s="4">
        <v>0</v>
      </c>
      <c r="I332" s="4" t="s">
        <v>16</v>
      </c>
      <c r="J332" s="4" t="s">
        <v>34</v>
      </c>
      <c r="K332" s="4">
        <v>60</v>
      </c>
      <c r="L332" s="4" t="str">
        <f t="shared" si="5"/>
        <v>Old</v>
      </c>
      <c r="M332" s="4" t="s">
        <v>15</v>
      </c>
    </row>
    <row r="333" spans="1:13" x14ac:dyDescent="0.3">
      <c r="A333" s="4">
        <v>332</v>
      </c>
      <c r="B333" s="4" t="s">
        <v>41</v>
      </c>
      <c r="C333" s="4" t="s">
        <v>19</v>
      </c>
      <c r="D333" s="4">
        <v>67763</v>
      </c>
      <c r="E333" s="4" t="s">
        <v>26</v>
      </c>
      <c r="F333" s="4" t="s">
        <v>32</v>
      </c>
      <c r="G333" s="4" t="s">
        <v>22</v>
      </c>
      <c r="H333" s="4">
        <v>3</v>
      </c>
      <c r="I333" s="4" t="s">
        <v>33</v>
      </c>
      <c r="J333" s="4" t="s">
        <v>17</v>
      </c>
      <c r="K333" s="4">
        <v>24</v>
      </c>
      <c r="L333" s="4" t="str">
        <f t="shared" si="5"/>
        <v>Adolescent</v>
      </c>
      <c r="M333" s="4" t="s">
        <v>15</v>
      </c>
    </row>
    <row r="334" spans="1:13" x14ac:dyDescent="0.3">
      <c r="A334" s="4">
        <v>333</v>
      </c>
      <c r="B334" s="4" t="s">
        <v>40</v>
      </c>
      <c r="C334" s="4" t="s">
        <v>12</v>
      </c>
      <c r="D334" s="4">
        <v>61918</v>
      </c>
      <c r="E334" s="4" t="s">
        <v>26</v>
      </c>
      <c r="F334" s="4" t="s">
        <v>35</v>
      </c>
      <c r="G334" s="4" t="s">
        <v>22</v>
      </c>
      <c r="H334" s="4">
        <v>3</v>
      </c>
      <c r="I334" s="4" t="s">
        <v>37</v>
      </c>
      <c r="J334" s="4" t="s">
        <v>17</v>
      </c>
      <c r="K334" s="4">
        <v>27</v>
      </c>
      <c r="L334" s="4" t="str">
        <f t="shared" si="5"/>
        <v>Adolescent</v>
      </c>
      <c r="M334" s="4" t="s">
        <v>15</v>
      </c>
    </row>
    <row r="335" spans="1:13" x14ac:dyDescent="0.3">
      <c r="A335" s="4">
        <v>334</v>
      </c>
      <c r="B335" s="4" t="s">
        <v>41</v>
      </c>
      <c r="C335" s="4" t="s">
        <v>12</v>
      </c>
      <c r="D335" s="4">
        <v>68972</v>
      </c>
      <c r="E335" s="4" t="s">
        <v>20</v>
      </c>
      <c r="F335" s="4" t="s">
        <v>35</v>
      </c>
      <c r="G335" s="4" t="s">
        <v>22</v>
      </c>
      <c r="H335" s="4">
        <v>2</v>
      </c>
      <c r="I335" s="4" t="s">
        <v>16</v>
      </c>
      <c r="J335" s="4" t="s">
        <v>17</v>
      </c>
      <c r="K335" s="4">
        <v>49</v>
      </c>
      <c r="L335" s="4" t="str">
        <f t="shared" si="5"/>
        <v>Middle Age</v>
      </c>
      <c r="M335" s="4" t="s">
        <v>15</v>
      </c>
    </row>
    <row r="336" spans="1:13" x14ac:dyDescent="0.3">
      <c r="A336" s="4">
        <v>335</v>
      </c>
      <c r="B336" s="4" t="s">
        <v>41</v>
      </c>
      <c r="C336" s="4" t="s">
        <v>12</v>
      </c>
      <c r="D336" s="4">
        <v>59130</v>
      </c>
      <c r="E336" s="4" t="s">
        <v>26</v>
      </c>
      <c r="F336" s="4" t="s">
        <v>21</v>
      </c>
      <c r="G336" s="4" t="s">
        <v>22</v>
      </c>
      <c r="H336" s="4">
        <v>3</v>
      </c>
      <c r="I336" s="4" t="s">
        <v>23</v>
      </c>
      <c r="J336" s="4" t="s">
        <v>28</v>
      </c>
      <c r="K336" s="4">
        <v>37</v>
      </c>
      <c r="L336" s="4" t="str">
        <f t="shared" si="5"/>
        <v>Middle Age</v>
      </c>
      <c r="M336" s="4" t="s">
        <v>15</v>
      </c>
    </row>
    <row r="337" spans="1:13" x14ac:dyDescent="0.3">
      <c r="A337" s="4">
        <v>336</v>
      </c>
      <c r="B337" s="4" t="s">
        <v>40</v>
      </c>
      <c r="C337" s="4" t="s">
        <v>12</v>
      </c>
      <c r="D337" s="4">
        <v>68080</v>
      </c>
      <c r="E337" s="4" t="s">
        <v>26</v>
      </c>
      <c r="F337" s="4" t="s">
        <v>14</v>
      </c>
      <c r="G337" s="4" t="s">
        <v>15</v>
      </c>
      <c r="H337" s="4">
        <v>1</v>
      </c>
      <c r="I337" s="4" t="s">
        <v>16</v>
      </c>
      <c r="J337" s="4" t="s">
        <v>28</v>
      </c>
      <c r="K337" s="4">
        <v>32</v>
      </c>
      <c r="L337" s="4" t="str">
        <f t="shared" si="5"/>
        <v>Middle Age</v>
      </c>
      <c r="M337" s="4" t="s">
        <v>15</v>
      </c>
    </row>
    <row r="338" spans="1:13" x14ac:dyDescent="0.3">
      <c r="A338" s="4">
        <v>337</v>
      </c>
      <c r="B338" s="4" t="s">
        <v>41</v>
      </c>
      <c r="C338" s="4" t="s">
        <v>12</v>
      </c>
      <c r="D338" s="4">
        <v>90962</v>
      </c>
      <c r="E338" s="4" t="s">
        <v>26</v>
      </c>
      <c r="F338" s="4" t="s">
        <v>35</v>
      </c>
      <c r="G338" s="4" t="s">
        <v>15</v>
      </c>
      <c r="H338" s="4">
        <v>3</v>
      </c>
      <c r="I338" s="4" t="s">
        <v>27</v>
      </c>
      <c r="J338" s="4" t="s">
        <v>28</v>
      </c>
      <c r="K338" s="4">
        <v>37</v>
      </c>
      <c r="L338" s="4" t="str">
        <f t="shared" si="5"/>
        <v>Middle Age</v>
      </c>
      <c r="M338" s="4" t="s">
        <v>15</v>
      </c>
    </row>
    <row r="339" spans="1:13" x14ac:dyDescent="0.3">
      <c r="A339" s="4">
        <v>338</v>
      </c>
      <c r="B339" s="4" t="s">
        <v>41</v>
      </c>
      <c r="C339" s="4" t="s">
        <v>19</v>
      </c>
      <c r="D339" s="4">
        <v>99536</v>
      </c>
      <c r="E339" s="4" t="s">
        <v>20</v>
      </c>
      <c r="F339" s="4" t="s">
        <v>36</v>
      </c>
      <c r="G339" s="4" t="s">
        <v>15</v>
      </c>
      <c r="H339" s="4">
        <v>1</v>
      </c>
      <c r="I339" s="4" t="s">
        <v>16</v>
      </c>
      <c r="J339" s="4" t="s">
        <v>34</v>
      </c>
      <c r="K339" s="4">
        <v>20</v>
      </c>
      <c r="L339" s="4" t="str">
        <f t="shared" si="5"/>
        <v>Adolescent</v>
      </c>
      <c r="M339" s="4" t="s">
        <v>15</v>
      </c>
    </row>
    <row r="340" spans="1:13" x14ac:dyDescent="0.3">
      <c r="A340" s="4">
        <v>339</v>
      </c>
      <c r="B340" s="4" t="s">
        <v>41</v>
      </c>
      <c r="C340" s="4" t="s">
        <v>12</v>
      </c>
      <c r="D340" s="4">
        <v>21991</v>
      </c>
      <c r="E340" s="4" t="s">
        <v>26</v>
      </c>
      <c r="F340" s="4" t="s">
        <v>36</v>
      </c>
      <c r="G340" s="4" t="s">
        <v>22</v>
      </c>
      <c r="H340" s="4">
        <v>1</v>
      </c>
      <c r="I340" s="4" t="s">
        <v>27</v>
      </c>
      <c r="J340" s="4" t="s">
        <v>24</v>
      </c>
      <c r="K340" s="4">
        <v>60</v>
      </c>
      <c r="L340" s="4" t="str">
        <f t="shared" si="5"/>
        <v>Old</v>
      </c>
      <c r="M340" s="4" t="s">
        <v>15</v>
      </c>
    </row>
    <row r="341" spans="1:13" x14ac:dyDescent="0.3">
      <c r="A341" s="4">
        <v>340</v>
      </c>
      <c r="B341" s="4" t="s">
        <v>41</v>
      </c>
      <c r="C341" s="4" t="s">
        <v>12</v>
      </c>
      <c r="D341" s="4">
        <v>118650</v>
      </c>
      <c r="E341" s="4" t="s">
        <v>31</v>
      </c>
      <c r="F341" s="4" t="s">
        <v>36</v>
      </c>
      <c r="G341" s="4" t="s">
        <v>15</v>
      </c>
      <c r="H341" s="4">
        <v>2</v>
      </c>
      <c r="I341" s="4" t="s">
        <v>33</v>
      </c>
      <c r="J341" s="4" t="s">
        <v>34</v>
      </c>
      <c r="K341" s="4">
        <v>50</v>
      </c>
      <c r="L341" s="4" t="str">
        <f t="shared" si="5"/>
        <v>Middle Age</v>
      </c>
      <c r="M341" s="4" t="s">
        <v>15</v>
      </c>
    </row>
    <row r="342" spans="1:13" x14ac:dyDescent="0.3">
      <c r="A342" s="4">
        <v>341</v>
      </c>
      <c r="B342" s="4" t="s">
        <v>40</v>
      </c>
      <c r="C342" s="4" t="s">
        <v>12</v>
      </c>
      <c r="D342" s="4">
        <v>37589</v>
      </c>
      <c r="E342" s="4" t="s">
        <v>13</v>
      </c>
      <c r="F342" s="4" t="s">
        <v>32</v>
      </c>
      <c r="G342" s="4" t="s">
        <v>15</v>
      </c>
      <c r="H342" s="4">
        <v>3</v>
      </c>
      <c r="I342" s="4" t="s">
        <v>16</v>
      </c>
      <c r="J342" s="4" t="s">
        <v>28</v>
      </c>
      <c r="K342" s="4">
        <v>46</v>
      </c>
      <c r="L342" s="4" t="str">
        <f t="shared" si="5"/>
        <v>Middle Age</v>
      </c>
      <c r="M342" s="4" t="s">
        <v>15</v>
      </c>
    </row>
    <row r="343" spans="1:13" x14ac:dyDescent="0.3">
      <c r="A343" s="4">
        <v>342</v>
      </c>
      <c r="B343" s="4" t="s">
        <v>40</v>
      </c>
      <c r="C343" s="4" t="s">
        <v>19</v>
      </c>
      <c r="D343" s="4">
        <v>25282</v>
      </c>
      <c r="E343" s="4" t="s">
        <v>26</v>
      </c>
      <c r="F343" s="4" t="s">
        <v>14</v>
      </c>
      <c r="G343" s="4" t="s">
        <v>15</v>
      </c>
      <c r="H343" s="4">
        <v>1</v>
      </c>
      <c r="I343" s="4" t="s">
        <v>33</v>
      </c>
      <c r="J343" s="4" t="s">
        <v>34</v>
      </c>
      <c r="K343" s="4">
        <v>48</v>
      </c>
      <c r="L343" s="4" t="str">
        <f t="shared" si="5"/>
        <v>Middle Age</v>
      </c>
      <c r="M343" s="4" t="s">
        <v>15</v>
      </c>
    </row>
    <row r="344" spans="1:13" x14ac:dyDescent="0.3">
      <c r="A344" s="4">
        <v>343</v>
      </c>
      <c r="B344" s="4" t="s">
        <v>41</v>
      </c>
      <c r="C344" s="4" t="s">
        <v>19</v>
      </c>
      <c r="D344" s="4">
        <v>48350</v>
      </c>
      <c r="E344" s="4" t="s">
        <v>20</v>
      </c>
      <c r="F344" s="4" t="s">
        <v>36</v>
      </c>
      <c r="G344" s="4" t="s">
        <v>22</v>
      </c>
      <c r="H344" s="4">
        <v>2</v>
      </c>
      <c r="I344" s="4" t="s">
        <v>23</v>
      </c>
      <c r="J344" s="4" t="s">
        <v>17</v>
      </c>
      <c r="K344" s="4">
        <v>23</v>
      </c>
      <c r="L344" s="4" t="str">
        <f t="shared" si="5"/>
        <v>Adolescent</v>
      </c>
      <c r="M344" s="4" t="s">
        <v>22</v>
      </c>
    </row>
    <row r="345" spans="1:13" x14ac:dyDescent="0.3">
      <c r="A345" s="4">
        <v>344</v>
      </c>
      <c r="B345" s="4" t="s">
        <v>41</v>
      </c>
      <c r="C345" s="4" t="s">
        <v>19</v>
      </c>
      <c r="D345" s="4">
        <v>30381</v>
      </c>
      <c r="E345" s="4" t="s">
        <v>13</v>
      </c>
      <c r="F345" s="4" t="s">
        <v>32</v>
      </c>
      <c r="G345" s="4" t="s">
        <v>22</v>
      </c>
      <c r="H345" s="4">
        <v>3</v>
      </c>
      <c r="I345" s="4" t="s">
        <v>16</v>
      </c>
      <c r="J345" s="4" t="s">
        <v>17</v>
      </c>
      <c r="K345" s="4">
        <v>52</v>
      </c>
      <c r="L345" s="4" t="str">
        <f t="shared" si="5"/>
        <v>Middle Age</v>
      </c>
      <c r="M345" s="4" t="s">
        <v>15</v>
      </c>
    </row>
    <row r="346" spans="1:13" x14ac:dyDescent="0.3">
      <c r="A346" s="4">
        <v>345</v>
      </c>
      <c r="B346" s="4" t="s">
        <v>41</v>
      </c>
      <c r="C346" s="4" t="s">
        <v>19</v>
      </c>
      <c r="D346" s="4">
        <v>22447</v>
      </c>
      <c r="E346" s="4" t="s">
        <v>31</v>
      </c>
      <c r="F346" s="4" t="s">
        <v>32</v>
      </c>
      <c r="G346" s="4" t="s">
        <v>15</v>
      </c>
      <c r="H346" s="4">
        <v>2</v>
      </c>
      <c r="I346" s="4" t="s">
        <v>37</v>
      </c>
      <c r="J346" s="4" t="s">
        <v>34</v>
      </c>
      <c r="K346" s="4">
        <v>60</v>
      </c>
      <c r="L346" s="4" t="str">
        <f t="shared" si="5"/>
        <v>Old</v>
      </c>
      <c r="M346" s="4" t="s">
        <v>15</v>
      </c>
    </row>
    <row r="347" spans="1:13" x14ac:dyDescent="0.3">
      <c r="A347" s="4">
        <v>346</v>
      </c>
      <c r="B347" s="4" t="s">
        <v>41</v>
      </c>
      <c r="C347" s="4" t="s">
        <v>19</v>
      </c>
      <c r="D347" s="4">
        <v>79978</v>
      </c>
      <c r="E347" s="4" t="s">
        <v>20</v>
      </c>
      <c r="F347" s="4" t="s">
        <v>35</v>
      </c>
      <c r="G347" s="4" t="s">
        <v>15</v>
      </c>
      <c r="H347" s="4">
        <v>3</v>
      </c>
      <c r="I347" s="4" t="s">
        <v>27</v>
      </c>
      <c r="J347" s="4" t="s">
        <v>28</v>
      </c>
      <c r="K347" s="4">
        <v>49</v>
      </c>
      <c r="L347" s="4" t="str">
        <f t="shared" si="5"/>
        <v>Middle Age</v>
      </c>
      <c r="M347" s="4" t="s">
        <v>15</v>
      </c>
    </row>
    <row r="348" spans="1:13" x14ac:dyDescent="0.3">
      <c r="A348" s="4">
        <v>347</v>
      </c>
      <c r="B348" s="4" t="s">
        <v>41</v>
      </c>
      <c r="C348" s="4" t="s">
        <v>12</v>
      </c>
      <c r="D348" s="4">
        <v>63160</v>
      </c>
      <c r="E348" s="4" t="s">
        <v>31</v>
      </c>
      <c r="F348" s="4" t="s">
        <v>21</v>
      </c>
      <c r="G348" s="4" t="s">
        <v>22</v>
      </c>
      <c r="H348" s="4">
        <v>2</v>
      </c>
      <c r="I348" s="4" t="s">
        <v>16</v>
      </c>
      <c r="J348" s="4" t="s">
        <v>28</v>
      </c>
      <c r="K348" s="4">
        <v>19</v>
      </c>
      <c r="L348" s="4" t="str">
        <f t="shared" si="5"/>
        <v>Adolescent</v>
      </c>
      <c r="M348" s="4" t="s">
        <v>22</v>
      </c>
    </row>
    <row r="349" spans="1:13" x14ac:dyDescent="0.3">
      <c r="A349" s="4">
        <v>348</v>
      </c>
      <c r="B349" s="4" t="s">
        <v>41</v>
      </c>
      <c r="C349" s="4" t="s">
        <v>12</v>
      </c>
      <c r="D349" s="4">
        <v>68809</v>
      </c>
      <c r="E349" s="4" t="s">
        <v>13</v>
      </c>
      <c r="F349" s="4" t="s">
        <v>35</v>
      </c>
      <c r="G349" s="4" t="s">
        <v>22</v>
      </c>
      <c r="H349" s="4">
        <v>0</v>
      </c>
      <c r="I349" s="4" t="s">
        <v>23</v>
      </c>
      <c r="J349" s="4" t="s">
        <v>17</v>
      </c>
      <c r="K349" s="4">
        <v>55</v>
      </c>
      <c r="L349" s="4" t="str">
        <f t="shared" si="5"/>
        <v>Old</v>
      </c>
      <c r="M349" s="4" t="s">
        <v>15</v>
      </c>
    </row>
    <row r="350" spans="1:13" x14ac:dyDescent="0.3">
      <c r="A350" s="4">
        <v>349</v>
      </c>
      <c r="B350" s="4" t="s">
        <v>41</v>
      </c>
      <c r="C350" s="4" t="s">
        <v>12</v>
      </c>
      <c r="D350" s="4">
        <v>27060</v>
      </c>
      <c r="E350" s="4" t="s">
        <v>13</v>
      </c>
      <c r="F350" s="4" t="s">
        <v>21</v>
      </c>
      <c r="G350" s="4" t="s">
        <v>22</v>
      </c>
      <c r="H350" s="4">
        <v>0</v>
      </c>
      <c r="I350" s="4" t="s">
        <v>23</v>
      </c>
      <c r="J350" s="4" t="s">
        <v>17</v>
      </c>
      <c r="K350" s="4">
        <v>41</v>
      </c>
      <c r="L350" s="4" t="str">
        <f t="shared" si="5"/>
        <v>Middle Age</v>
      </c>
      <c r="M350" s="4" t="s">
        <v>15</v>
      </c>
    </row>
    <row r="351" spans="1:13" x14ac:dyDescent="0.3">
      <c r="A351" s="4">
        <v>350</v>
      </c>
      <c r="B351" s="4" t="s">
        <v>41</v>
      </c>
      <c r="C351" s="4" t="s">
        <v>19</v>
      </c>
      <c r="D351" s="4">
        <v>37315</v>
      </c>
      <c r="E351" s="4" t="s">
        <v>26</v>
      </c>
      <c r="F351" s="4" t="s">
        <v>14</v>
      </c>
      <c r="G351" s="4" t="s">
        <v>22</v>
      </c>
      <c r="H351" s="4">
        <v>3</v>
      </c>
      <c r="I351" s="4" t="s">
        <v>16</v>
      </c>
      <c r="J351" s="4" t="s">
        <v>17</v>
      </c>
      <c r="K351" s="4">
        <v>20</v>
      </c>
      <c r="L351" s="4" t="str">
        <f t="shared" si="5"/>
        <v>Adolescent</v>
      </c>
      <c r="M351" s="4" t="s">
        <v>15</v>
      </c>
    </row>
    <row r="352" spans="1:13" x14ac:dyDescent="0.3">
      <c r="A352" s="4">
        <v>351</v>
      </c>
      <c r="B352" s="4" t="s">
        <v>40</v>
      </c>
      <c r="C352" s="4" t="s">
        <v>12</v>
      </c>
      <c r="D352" s="4">
        <v>50230</v>
      </c>
      <c r="E352" s="4" t="s">
        <v>31</v>
      </c>
      <c r="F352" s="4" t="s">
        <v>32</v>
      </c>
      <c r="G352" s="4" t="s">
        <v>15</v>
      </c>
      <c r="H352" s="4">
        <v>2</v>
      </c>
      <c r="I352" s="4" t="s">
        <v>23</v>
      </c>
      <c r="J352" s="4" t="s">
        <v>17</v>
      </c>
      <c r="K352" s="4">
        <v>41</v>
      </c>
      <c r="L352" s="4" t="str">
        <f t="shared" si="5"/>
        <v>Middle Age</v>
      </c>
      <c r="M352" s="4" t="s">
        <v>22</v>
      </c>
    </row>
    <row r="353" spans="1:13" x14ac:dyDescent="0.3">
      <c r="A353" s="4">
        <v>352</v>
      </c>
      <c r="B353" s="4" t="s">
        <v>41</v>
      </c>
      <c r="C353" s="4" t="s">
        <v>12</v>
      </c>
      <c r="D353" s="4">
        <v>114222</v>
      </c>
      <c r="E353" s="4" t="s">
        <v>31</v>
      </c>
      <c r="F353" s="4" t="s">
        <v>14</v>
      </c>
      <c r="G353" s="4" t="s">
        <v>15</v>
      </c>
      <c r="H353" s="4">
        <v>3</v>
      </c>
      <c r="I353" s="4" t="s">
        <v>16</v>
      </c>
      <c r="J353" s="4" t="s">
        <v>17</v>
      </c>
      <c r="K353" s="4">
        <v>37</v>
      </c>
      <c r="L353" s="4" t="str">
        <f t="shared" si="5"/>
        <v>Middle Age</v>
      </c>
      <c r="M353" s="4" t="s">
        <v>15</v>
      </c>
    </row>
    <row r="354" spans="1:13" x14ac:dyDescent="0.3">
      <c r="A354" s="4">
        <v>353</v>
      </c>
      <c r="B354" s="4" t="s">
        <v>41</v>
      </c>
      <c r="C354" s="4" t="s">
        <v>12</v>
      </c>
      <c r="D354" s="4">
        <v>103260</v>
      </c>
      <c r="E354" s="4" t="s">
        <v>13</v>
      </c>
      <c r="F354" s="4" t="s">
        <v>36</v>
      </c>
      <c r="G354" s="4" t="s">
        <v>15</v>
      </c>
      <c r="H354" s="4">
        <v>2</v>
      </c>
      <c r="I354" s="4" t="s">
        <v>23</v>
      </c>
      <c r="J354" s="4" t="s">
        <v>17</v>
      </c>
      <c r="K354" s="4">
        <v>49</v>
      </c>
      <c r="L354" s="4" t="str">
        <f t="shared" si="5"/>
        <v>Middle Age</v>
      </c>
      <c r="M354" s="4" t="s">
        <v>15</v>
      </c>
    </row>
    <row r="355" spans="1:13" x14ac:dyDescent="0.3">
      <c r="A355" s="4">
        <v>354</v>
      </c>
      <c r="B355" s="4" t="s">
        <v>41</v>
      </c>
      <c r="C355" s="4" t="s">
        <v>12</v>
      </c>
      <c r="D355" s="4">
        <v>96677</v>
      </c>
      <c r="E355" s="4" t="s">
        <v>13</v>
      </c>
      <c r="F355" s="4" t="s">
        <v>14</v>
      </c>
      <c r="G355" s="4" t="s">
        <v>15</v>
      </c>
      <c r="H355" s="4">
        <v>3</v>
      </c>
      <c r="I355" s="4" t="s">
        <v>33</v>
      </c>
      <c r="J355" s="4" t="s">
        <v>28</v>
      </c>
      <c r="K355" s="4">
        <v>20</v>
      </c>
      <c r="L355" s="4" t="str">
        <f t="shared" si="5"/>
        <v>Adolescent</v>
      </c>
      <c r="M355" s="4" t="s">
        <v>15</v>
      </c>
    </row>
    <row r="356" spans="1:13" x14ac:dyDescent="0.3">
      <c r="A356" s="4">
        <v>355</v>
      </c>
      <c r="B356" s="4" t="s">
        <v>41</v>
      </c>
      <c r="C356" s="4" t="s">
        <v>12</v>
      </c>
      <c r="D356" s="4">
        <v>113839</v>
      </c>
      <c r="E356" s="4" t="s">
        <v>26</v>
      </c>
      <c r="F356" s="4" t="s">
        <v>36</v>
      </c>
      <c r="G356" s="4" t="s">
        <v>15</v>
      </c>
      <c r="H356" s="4">
        <v>0</v>
      </c>
      <c r="I356" s="4" t="s">
        <v>33</v>
      </c>
      <c r="J356" s="4" t="s">
        <v>34</v>
      </c>
      <c r="K356" s="4">
        <v>59</v>
      </c>
      <c r="L356" s="4" t="str">
        <f t="shared" si="5"/>
        <v>Old</v>
      </c>
      <c r="M356" s="4" t="s">
        <v>15</v>
      </c>
    </row>
    <row r="357" spans="1:13" x14ac:dyDescent="0.3">
      <c r="A357" s="4">
        <v>356</v>
      </c>
      <c r="B357" s="4" t="s">
        <v>41</v>
      </c>
      <c r="C357" s="4" t="s">
        <v>12</v>
      </c>
      <c r="D357" s="4">
        <v>76156</v>
      </c>
      <c r="E357" s="4" t="s">
        <v>31</v>
      </c>
      <c r="F357" s="4" t="s">
        <v>36</v>
      </c>
      <c r="G357" s="4" t="s">
        <v>22</v>
      </c>
      <c r="H357" s="4">
        <v>2</v>
      </c>
      <c r="I357" s="4" t="s">
        <v>16</v>
      </c>
      <c r="J357" s="4" t="s">
        <v>17</v>
      </c>
      <c r="K357" s="4">
        <v>19</v>
      </c>
      <c r="L357" s="4" t="str">
        <f t="shared" si="5"/>
        <v>Adolescent</v>
      </c>
      <c r="M357" s="4" t="s">
        <v>15</v>
      </c>
    </row>
    <row r="358" spans="1:13" x14ac:dyDescent="0.3">
      <c r="A358" s="4">
        <v>357</v>
      </c>
      <c r="B358" s="4" t="s">
        <v>40</v>
      </c>
      <c r="C358" s="4" t="s">
        <v>12</v>
      </c>
      <c r="D358" s="4">
        <v>22188</v>
      </c>
      <c r="E358" s="4" t="s">
        <v>26</v>
      </c>
      <c r="F358" s="4" t="s">
        <v>32</v>
      </c>
      <c r="G358" s="4" t="s">
        <v>15</v>
      </c>
      <c r="H358" s="4">
        <v>3</v>
      </c>
      <c r="I358" s="4" t="s">
        <v>27</v>
      </c>
      <c r="J358" s="4" t="s">
        <v>28</v>
      </c>
      <c r="K358" s="4">
        <v>51</v>
      </c>
      <c r="L358" s="4" t="str">
        <f t="shared" si="5"/>
        <v>Middle Age</v>
      </c>
      <c r="M358" s="4" t="s">
        <v>15</v>
      </c>
    </row>
    <row r="359" spans="1:13" x14ac:dyDescent="0.3">
      <c r="A359" s="4">
        <v>358</v>
      </c>
      <c r="B359" s="4" t="s">
        <v>41</v>
      </c>
      <c r="C359" s="4" t="s">
        <v>19</v>
      </c>
      <c r="D359" s="4">
        <v>58453</v>
      </c>
      <c r="E359" s="4" t="s">
        <v>31</v>
      </c>
      <c r="F359" s="4" t="s">
        <v>36</v>
      </c>
      <c r="G359" s="4" t="s">
        <v>15</v>
      </c>
      <c r="H359" s="4">
        <v>0</v>
      </c>
      <c r="I359" s="4" t="s">
        <v>33</v>
      </c>
      <c r="J359" s="4" t="s">
        <v>34</v>
      </c>
      <c r="K359" s="4">
        <v>23</v>
      </c>
      <c r="L359" s="4" t="str">
        <f t="shared" si="5"/>
        <v>Adolescent</v>
      </c>
      <c r="M359" s="4" t="s">
        <v>22</v>
      </c>
    </row>
    <row r="360" spans="1:13" x14ac:dyDescent="0.3">
      <c r="A360" s="4">
        <v>359</v>
      </c>
      <c r="B360" s="4" t="s">
        <v>40</v>
      </c>
      <c r="C360" s="4" t="s">
        <v>12</v>
      </c>
      <c r="D360" s="4">
        <v>52461</v>
      </c>
      <c r="E360" s="4" t="s">
        <v>26</v>
      </c>
      <c r="F360" s="4" t="s">
        <v>36</v>
      </c>
      <c r="G360" s="4" t="s">
        <v>15</v>
      </c>
      <c r="H360" s="4">
        <v>3</v>
      </c>
      <c r="I360" s="4" t="s">
        <v>23</v>
      </c>
      <c r="J360" s="4" t="s">
        <v>34</v>
      </c>
      <c r="K360" s="4">
        <v>48</v>
      </c>
      <c r="L360" s="4" t="str">
        <f t="shared" si="5"/>
        <v>Middle Age</v>
      </c>
      <c r="M360" s="4" t="s">
        <v>15</v>
      </c>
    </row>
    <row r="361" spans="1:13" x14ac:dyDescent="0.3">
      <c r="A361" s="4">
        <v>360</v>
      </c>
      <c r="B361" s="4" t="s">
        <v>41</v>
      </c>
      <c r="C361" s="4" t="s">
        <v>12</v>
      </c>
      <c r="D361" s="4">
        <v>61645</v>
      </c>
      <c r="E361" s="4" t="s">
        <v>20</v>
      </c>
      <c r="F361" s="4" t="s">
        <v>32</v>
      </c>
      <c r="G361" s="4" t="s">
        <v>15</v>
      </c>
      <c r="H361" s="4">
        <v>3</v>
      </c>
      <c r="I361" s="4" t="s">
        <v>16</v>
      </c>
      <c r="J361" s="4" t="s">
        <v>28</v>
      </c>
      <c r="K361" s="4">
        <v>24</v>
      </c>
      <c r="L361" s="4" t="str">
        <f t="shared" si="5"/>
        <v>Adolescent</v>
      </c>
      <c r="M361" s="4" t="s">
        <v>15</v>
      </c>
    </row>
    <row r="362" spans="1:13" x14ac:dyDescent="0.3">
      <c r="A362" s="4">
        <v>361</v>
      </c>
      <c r="B362" s="4" t="s">
        <v>40</v>
      </c>
      <c r="C362" s="4" t="s">
        <v>12</v>
      </c>
      <c r="D362" s="4">
        <v>53185</v>
      </c>
      <c r="E362" s="4" t="s">
        <v>26</v>
      </c>
      <c r="F362" s="4" t="s">
        <v>35</v>
      </c>
      <c r="G362" s="4" t="s">
        <v>22</v>
      </c>
      <c r="H362" s="4">
        <v>0</v>
      </c>
      <c r="I362" s="4" t="s">
        <v>27</v>
      </c>
      <c r="J362" s="4" t="s">
        <v>34</v>
      </c>
      <c r="K362" s="4">
        <v>41</v>
      </c>
      <c r="L362" s="4" t="str">
        <f t="shared" si="5"/>
        <v>Middle Age</v>
      </c>
      <c r="M362" s="4" t="s">
        <v>22</v>
      </c>
    </row>
    <row r="363" spans="1:13" x14ac:dyDescent="0.3">
      <c r="A363" s="4">
        <v>362</v>
      </c>
      <c r="B363" s="4" t="s">
        <v>41</v>
      </c>
      <c r="C363" s="4" t="s">
        <v>12</v>
      </c>
      <c r="D363" s="4">
        <v>53106</v>
      </c>
      <c r="E363" s="4" t="s">
        <v>13</v>
      </c>
      <c r="F363" s="4" t="s">
        <v>32</v>
      </c>
      <c r="G363" s="4" t="s">
        <v>22</v>
      </c>
      <c r="H363" s="4">
        <v>0</v>
      </c>
      <c r="I363" s="4" t="s">
        <v>27</v>
      </c>
      <c r="J363" s="4" t="s">
        <v>24</v>
      </c>
      <c r="K363" s="4">
        <v>22</v>
      </c>
      <c r="L363" s="4" t="str">
        <f t="shared" si="5"/>
        <v>Adolescent</v>
      </c>
      <c r="M363" s="4" t="s">
        <v>22</v>
      </c>
    </row>
    <row r="364" spans="1:13" x14ac:dyDescent="0.3">
      <c r="A364" s="4">
        <v>363</v>
      </c>
      <c r="B364" s="4" t="s">
        <v>40</v>
      </c>
      <c r="C364" s="4" t="s">
        <v>12</v>
      </c>
      <c r="D364" s="4">
        <v>79130</v>
      </c>
      <c r="E364" s="4" t="s">
        <v>20</v>
      </c>
      <c r="F364" s="4" t="s">
        <v>14</v>
      </c>
      <c r="G364" s="4" t="s">
        <v>15</v>
      </c>
      <c r="H364" s="4">
        <v>1</v>
      </c>
      <c r="I364" s="4" t="s">
        <v>27</v>
      </c>
      <c r="J364" s="4" t="s">
        <v>17</v>
      </c>
      <c r="K364" s="4">
        <v>44</v>
      </c>
      <c r="L364" s="4" t="str">
        <f t="shared" si="5"/>
        <v>Middle Age</v>
      </c>
      <c r="M364" s="4" t="s">
        <v>22</v>
      </c>
    </row>
    <row r="365" spans="1:13" x14ac:dyDescent="0.3">
      <c r="A365" s="4">
        <v>364</v>
      </c>
      <c r="B365" s="4" t="s">
        <v>40</v>
      </c>
      <c r="C365" s="4" t="s">
        <v>12</v>
      </c>
      <c r="D365" s="4">
        <v>102168</v>
      </c>
      <c r="E365" s="4" t="s">
        <v>31</v>
      </c>
      <c r="F365" s="4" t="s">
        <v>32</v>
      </c>
      <c r="G365" s="4" t="s">
        <v>15</v>
      </c>
      <c r="H365" s="4">
        <v>2</v>
      </c>
      <c r="I365" s="4" t="s">
        <v>23</v>
      </c>
      <c r="J365" s="4" t="s">
        <v>24</v>
      </c>
      <c r="K365" s="4">
        <v>29</v>
      </c>
      <c r="L365" s="4" t="str">
        <f t="shared" si="5"/>
        <v>Adolescent</v>
      </c>
      <c r="M365" s="4" t="s">
        <v>15</v>
      </c>
    </row>
    <row r="366" spans="1:13" x14ac:dyDescent="0.3">
      <c r="A366" s="4">
        <v>365</v>
      </c>
      <c r="B366" s="4" t="s">
        <v>41</v>
      </c>
      <c r="C366" s="4" t="s">
        <v>19</v>
      </c>
      <c r="D366" s="4">
        <v>70358</v>
      </c>
      <c r="E366" s="4" t="s">
        <v>20</v>
      </c>
      <c r="F366" s="4" t="s">
        <v>14</v>
      </c>
      <c r="G366" s="4" t="s">
        <v>22</v>
      </c>
      <c r="H366" s="4">
        <v>2</v>
      </c>
      <c r="I366" s="4" t="s">
        <v>33</v>
      </c>
      <c r="J366" s="4" t="s">
        <v>17</v>
      </c>
      <c r="K366" s="4">
        <v>19</v>
      </c>
      <c r="L366" s="4" t="str">
        <f t="shared" si="5"/>
        <v>Adolescent</v>
      </c>
      <c r="M366" s="4" t="s">
        <v>15</v>
      </c>
    </row>
    <row r="367" spans="1:13" x14ac:dyDescent="0.3">
      <c r="A367" s="4">
        <v>366</v>
      </c>
      <c r="B367" s="4" t="s">
        <v>41</v>
      </c>
      <c r="C367" s="4" t="s">
        <v>12</v>
      </c>
      <c r="D367" s="4">
        <v>82235</v>
      </c>
      <c r="E367" s="4" t="s">
        <v>26</v>
      </c>
      <c r="F367" s="4" t="s">
        <v>32</v>
      </c>
      <c r="G367" s="4" t="s">
        <v>15</v>
      </c>
      <c r="H367" s="4">
        <v>1</v>
      </c>
      <c r="I367" s="4" t="s">
        <v>23</v>
      </c>
      <c r="J367" s="4" t="s">
        <v>24</v>
      </c>
      <c r="K367" s="4">
        <v>33</v>
      </c>
      <c r="L367" s="4" t="str">
        <f t="shared" si="5"/>
        <v>Middle Age</v>
      </c>
      <c r="M367" s="4" t="s">
        <v>22</v>
      </c>
    </row>
    <row r="368" spans="1:13" x14ac:dyDescent="0.3">
      <c r="A368" s="4">
        <v>367</v>
      </c>
      <c r="B368" s="4" t="s">
        <v>41</v>
      </c>
      <c r="C368" s="4" t="s">
        <v>19</v>
      </c>
      <c r="D368" s="4">
        <v>49877</v>
      </c>
      <c r="E368" s="4" t="s">
        <v>31</v>
      </c>
      <c r="F368" s="4" t="s">
        <v>14</v>
      </c>
      <c r="G368" s="4" t="s">
        <v>15</v>
      </c>
      <c r="H368" s="4">
        <v>3</v>
      </c>
      <c r="I368" s="4" t="s">
        <v>37</v>
      </c>
      <c r="J368" s="4" t="s">
        <v>24</v>
      </c>
      <c r="K368" s="4">
        <v>32</v>
      </c>
      <c r="L368" s="4" t="str">
        <f t="shared" si="5"/>
        <v>Middle Age</v>
      </c>
      <c r="M368" s="4" t="s">
        <v>15</v>
      </c>
    </row>
    <row r="369" spans="1:13" x14ac:dyDescent="0.3">
      <c r="A369" s="4">
        <v>368</v>
      </c>
      <c r="B369" s="4" t="s">
        <v>41</v>
      </c>
      <c r="C369" s="4" t="s">
        <v>12</v>
      </c>
      <c r="D369" s="4">
        <v>45708</v>
      </c>
      <c r="E369" s="4" t="s">
        <v>13</v>
      </c>
      <c r="F369" s="4" t="s">
        <v>36</v>
      </c>
      <c r="G369" s="4" t="s">
        <v>22</v>
      </c>
      <c r="H369" s="4">
        <v>0</v>
      </c>
      <c r="I369" s="4" t="s">
        <v>23</v>
      </c>
      <c r="J369" s="4" t="s">
        <v>24</v>
      </c>
      <c r="K369" s="4">
        <v>23</v>
      </c>
      <c r="L369" s="4" t="str">
        <f t="shared" si="5"/>
        <v>Adolescent</v>
      </c>
      <c r="M369" s="4" t="s">
        <v>15</v>
      </c>
    </row>
    <row r="370" spans="1:13" x14ac:dyDescent="0.3">
      <c r="A370" s="4">
        <v>369</v>
      </c>
      <c r="B370" s="4" t="s">
        <v>40</v>
      </c>
      <c r="C370" s="4" t="s">
        <v>19</v>
      </c>
      <c r="D370" s="4">
        <v>67524</v>
      </c>
      <c r="E370" s="4" t="s">
        <v>20</v>
      </c>
      <c r="F370" s="4" t="s">
        <v>21</v>
      </c>
      <c r="G370" s="4" t="s">
        <v>15</v>
      </c>
      <c r="H370" s="4">
        <v>1</v>
      </c>
      <c r="I370" s="4" t="s">
        <v>23</v>
      </c>
      <c r="J370" s="4" t="s">
        <v>17</v>
      </c>
      <c r="K370" s="4">
        <v>50</v>
      </c>
      <c r="L370" s="4" t="str">
        <f t="shared" si="5"/>
        <v>Middle Age</v>
      </c>
      <c r="M370" s="4" t="s">
        <v>15</v>
      </c>
    </row>
    <row r="371" spans="1:13" x14ac:dyDescent="0.3">
      <c r="A371" s="4">
        <v>370</v>
      </c>
      <c r="B371" s="4" t="s">
        <v>40</v>
      </c>
      <c r="C371" s="4" t="s">
        <v>19</v>
      </c>
      <c r="D371" s="4">
        <v>118934</v>
      </c>
      <c r="E371" s="4" t="s">
        <v>20</v>
      </c>
      <c r="F371" s="4" t="s">
        <v>21</v>
      </c>
      <c r="G371" s="4" t="s">
        <v>22</v>
      </c>
      <c r="H371" s="4">
        <v>0</v>
      </c>
      <c r="I371" s="4" t="s">
        <v>37</v>
      </c>
      <c r="J371" s="4" t="s">
        <v>24</v>
      </c>
      <c r="K371" s="4">
        <v>34</v>
      </c>
      <c r="L371" s="4" t="str">
        <f t="shared" si="5"/>
        <v>Middle Age</v>
      </c>
      <c r="M371" s="4" t="s">
        <v>15</v>
      </c>
    </row>
    <row r="372" spans="1:13" x14ac:dyDescent="0.3">
      <c r="A372" s="4">
        <v>371</v>
      </c>
      <c r="B372" s="4" t="s">
        <v>41</v>
      </c>
      <c r="C372" s="4" t="s">
        <v>19</v>
      </c>
      <c r="D372" s="4">
        <v>59576</v>
      </c>
      <c r="E372" s="4" t="s">
        <v>26</v>
      </c>
      <c r="F372" s="4" t="s">
        <v>32</v>
      </c>
      <c r="G372" s="4" t="s">
        <v>22</v>
      </c>
      <c r="H372" s="4">
        <v>2</v>
      </c>
      <c r="I372" s="4" t="s">
        <v>16</v>
      </c>
      <c r="J372" s="4" t="s">
        <v>28</v>
      </c>
      <c r="K372" s="4">
        <v>32</v>
      </c>
      <c r="L372" s="4" t="str">
        <f t="shared" si="5"/>
        <v>Middle Age</v>
      </c>
      <c r="M372" s="4" t="s">
        <v>15</v>
      </c>
    </row>
    <row r="373" spans="1:13" x14ac:dyDescent="0.3">
      <c r="A373" s="4">
        <v>372</v>
      </c>
      <c r="B373" s="4" t="s">
        <v>41</v>
      </c>
      <c r="C373" s="4" t="s">
        <v>19</v>
      </c>
      <c r="D373" s="4">
        <v>52766</v>
      </c>
      <c r="E373" s="4" t="s">
        <v>31</v>
      </c>
      <c r="F373" s="4" t="s">
        <v>14</v>
      </c>
      <c r="G373" s="4" t="s">
        <v>15</v>
      </c>
      <c r="H373" s="4">
        <v>0</v>
      </c>
      <c r="I373" s="4" t="s">
        <v>33</v>
      </c>
      <c r="J373" s="4" t="s">
        <v>34</v>
      </c>
      <c r="K373" s="4">
        <v>36</v>
      </c>
      <c r="L373" s="4" t="str">
        <f t="shared" si="5"/>
        <v>Middle Age</v>
      </c>
      <c r="M373" s="4" t="s">
        <v>22</v>
      </c>
    </row>
    <row r="374" spans="1:13" x14ac:dyDescent="0.3">
      <c r="A374" s="4">
        <v>373</v>
      </c>
      <c r="B374" s="4" t="s">
        <v>40</v>
      </c>
      <c r="C374" s="4" t="s">
        <v>12</v>
      </c>
      <c r="D374" s="4">
        <v>75258</v>
      </c>
      <c r="E374" s="4" t="s">
        <v>13</v>
      </c>
      <c r="F374" s="4" t="s">
        <v>35</v>
      </c>
      <c r="G374" s="4" t="s">
        <v>22</v>
      </c>
      <c r="H374" s="4">
        <v>3</v>
      </c>
      <c r="I374" s="4" t="s">
        <v>16</v>
      </c>
      <c r="J374" s="4" t="s">
        <v>28</v>
      </c>
      <c r="K374" s="4">
        <v>26</v>
      </c>
      <c r="L374" s="4" t="str">
        <f t="shared" si="5"/>
        <v>Adolescent</v>
      </c>
      <c r="M374" s="4" t="s">
        <v>15</v>
      </c>
    </row>
    <row r="375" spans="1:13" x14ac:dyDescent="0.3">
      <c r="A375" s="4">
        <v>374</v>
      </c>
      <c r="B375" s="4" t="s">
        <v>40</v>
      </c>
      <c r="C375" s="4" t="s">
        <v>12</v>
      </c>
      <c r="D375" s="4">
        <v>95965</v>
      </c>
      <c r="E375" s="4" t="s">
        <v>26</v>
      </c>
      <c r="F375" s="4" t="s">
        <v>36</v>
      </c>
      <c r="G375" s="4" t="s">
        <v>15</v>
      </c>
      <c r="H375" s="4">
        <v>0</v>
      </c>
      <c r="I375" s="4" t="s">
        <v>27</v>
      </c>
      <c r="J375" s="4" t="s">
        <v>17</v>
      </c>
      <c r="K375" s="4">
        <v>22</v>
      </c>
      <c r="L375" s="4" t="str">
        <f t="shared" si="5"/>
        <v>Adolescent</v>
      </c>
      <c r="M375" s="4" t="s">
        <v>22</v>
      </c>
    </row>
    <row r="376" spans="1:13" x14ac:dyDescent="0.3">
      <c r="A376" s="4">
        <v>375</v>
      </c>
      <c r="B376" s="4" t="s">
        <v>40</v>
      </c>
      <c r="C376" s="4" t="s">
        <v>19</v>
      </c>
      <c r="D376" s="4">
        <v>82293</v>
      </c>
      <c r="E376" s="4" t="s">
        <v>20</v>
      </c>
      <c r="F376" s="4" t="s">
        <v>21</v>
      </c>
      <c r="G376" s="4" t="s">
        <v>15</v>
      </c>
      <c r="H376" s="4">
        <v>3</v>
      </c>
      <c r="I376" s="4" t="s">
        <v>16</v>
      </c>
      <c r="J376" s="4" t="s">
        <v>34</v>
      </c>
      <c r="K376" s="4">
        <v>41</v>
      </c>
      <c r="L376" s="4" t="str">
        <f t="shared" si="5"/>
        <v>Middle Age</v>
      </c>
      <c r="M376" s="4" t="s">
        <v>15</v>
      </c>
    </row>
    <row r="377" spans="1:13" x14ac:dyDescent="0.3">
      <c r="A377" s="4">
        <v>376</v>
      </c>
      <c r="B377" s="4" t="s">
        <v>40</v>
      </c>
      <c r="C377" s="4" t="s">
        <v>19</v>
      </c>
      <c r="D377" s="4">
        <v>20158</v>
      </c>
      <c r="E377" s="4" t="s">
        <v>20</v>
      </c>
      <c r="F377" s="4" t="s">
        <v>36</v>
      </c>
      <c r="G377" s="4" t="s">
        <v>22</v>
      </c>
      <c r="H377" s="4">
        <v>3</v>
      </c>
      <c r="I377" s="4" t="s">
        <v>33</v>
      </c>
      <c r="J377" s="4" t="s">
        <v>17</v>
      </c>
      <c r="K377" s="4">
        <v>36</v>
      </c>
      <c r="L377" s="4" t="str">
        <f t="shared" si="5"/>
        <v>Middle Age</v>
      </c>
      <c r="M377" s="4" t="s">
        <v>15</v>
      </c>
    </row>
    <row r="378" spans="1:13" x14ac:dyDescent="0.3">
      <c r="A378" s="4">
        <v>377</v>
      </c>
      <c r="B378" s="4" t="s">
        <v>40</v>
      </c>
      <c r="C378" s="4" t="s">
        <v>19</v>
      </c>
      <c r="D378" s="4">
        <v>80172</v>
      </c>
      <c r="E378" s="4" t="s">
        <v>26</v>
      </c>
      <c r="F378" s="4" t="s">
        <v>14</v>
      </c>
      <c r="G378" s="4" t="s">
        <v>15</v>
      </c>
      <c r="H378" s="4">
        <v>3</v>
      </c>
      <c r="I378" s="4" t="s">
        <v>27</v>
      </c>
      <c r="J378" s="4" t="s">
        <v>28</v>
      </c>
      <c r="K378" s="4">
        <v>18</v>
      </c>
      <c r="L378" s="4" t="str">
        <f t="shared" si="5"/>
        <v>Adolescent</v>
      </c>
      <c r="M378" s="4" t="s">
        <v>15</v>
      </c>
    </row>
    <row r="379" spans="1:13" x14ac:dyDescent="0.3">
      <c r="A379" s="4">
        <v>378</v>
      </c>
      <c r="B379" s="4" t="s">
        <v>40</v>
      </c>
      <c r="C379" s="4" t="s">
        <v>19</v>
      </c>
      <c r="D379" s="4">
        <v>108570</v>
      </c>
      <c r="E379" s="4" t="s">
        <v>31</v>
      </c>
      <c r="F379" s="4" t="s">
        <v>35</v>
      </c>
      <c r="G379" s="4" t="s">
        <v>22</v>
      </c>
      <c r="H379" s="4">
        <v>1</v>
      </c>
      <c r="I379" s="4" t="s">
        <v>16</v>
      </c>
      <c r="J379" s="4" t="s">
        <v>17</v>
      </c>
      <c r="K379" s="4">
        <v>24</v>
      </c>
      <c r="L379" s="4" t="str">
        <f t="shared" si="5"/>
        <v>Adolescent</v>
      </c>
      <c r="M379" s="4" t="s">
        <v>22</v>
      </c>
    </row>
    <row r="380" spans="1:13" x14ac:dyDescent="0.3">
      <c r="A380" s="4">
        <v>379</v>
      </c>
      <c r="B380" s="4" t="s">
        <v>40</v>
      </c>
      <c r="C380" s="4" t="s">
        <v>19</v>
      </c>
      <c r="D380" s="4">
        <v>73105</v>
      </c>
      <c r="E380" s="4" t="s">
        <v>31</v>
      </c>
      <c r="F380" s="4" t="s">
        <v>35</v>
      </c>
      <c r="G380" s="4" t="s">
        <v>15</v>
      </c>
      <c r="H380" s="4">
        <v>0</v>
      </c>
      <c r="I380" s="4" t="s">
        <v>37</v>
      </c>
      <c r="J380" s="4" t="s">
        <v>17</v>
      </c>
      <c r="K380" s="4">
        <v>41</v>
      </c>
      <c r="L380" s="4" t="str">
        <f t="shared" si="5"/>
        <v>Middle Age</v>
      </c>
      <c r="M380" s="4" t="s">
        <v>22</v>
      </c>
    </row>
    <row r="381" spans="1:13" x14ac:dyDescent="0.3">
      <c r="A381" s="4">
        <v>380</v>
      </c>
      <c r="B381" s="4" t="s">
        <v>40</v>
      </c>
      <c r="C381" s="4" t="s">
        <v>12</v>
      </c>
      <c r="D381" s="4">
        <v>28536</v>
      </c>
      <c r="E381" s="4" t="s">
        <v>26</v>
      </c>
      <c r="F381" s="4" t="s">
        <v>21</v>
      </c>
      <c r="G381" s="4" t="s">
        <v>15</v>
      </c>
      <c r="H381" s="4">
        <v>3</v>
      </c>
      <c r="I381" s="4" t="s">
        <v>23</v>
      </c>
      <c r="J381" s="4" t="s">
        <v>28</v>
      </c>
      <c r="K381" s="4">
        <v>33</v>
      </c>
      <c r="L381" s="4" t="str">
        <f t="shared" si="5"/>
        <v>Middle Age</v>
      </c>
      <c r="M381" s="4" t="s">
        <v>15</v>
      </c>
    </row>
    <row r="382" spans="1:13" x14ac:dyDescent="0.3">
      <c r="A382" s="4">
        <v>381</v>
      </c>
      <c r="B382" s="4" t="s">
        <v>40</v>
      </c>
      <c r="C382" s="4" t="s">
        <v>19</v>
      </c>
      <c r="D382" s="4">
        <v>91505</v>
      </c>
      <c r="E382" s="4" t="s">
        <v>26</v>
      </c>
      <c r="F382" s="4" t="s">
        <v>32</v>
      </c>
      <c r="G382" s="4" t="s">
        <v>15</v>
      </c>
      <c r="H382" s="4">
        <v>0</v>
      </c>
      <c r="I382" s="4" t="s">
        <v>23</v>
      </c>
      <c r="J382" s="4" t="s">
        <v>17</v>
      </c>
      <c r="K382" s="4">
        <v>38</v>
      </c>
      <c r="L382" s="4" t="str">
        <f t="shared" si="5"/>
        <v>Middle Age</v>
      </c>
      <c r="M382" s="4" t="s">
        <v>15</v>
      </c>
    </row>
    <row r="383" spans="1:13" x14ac:dyDescent="0.3">
      <c r="A383" s="4">
        <v>382</v>
      </c>
      <c r="B383" s="4" t="s">
        <v>40</v>
      </c>
      <c r="C383" s="4" t="s">
        <v>19</v>
      </c>
      <c r="D383" s="4">
        <v>105259</v>
      </c>
      <c r="E383" s="4" t="s">
        <v>13</v>
      </c>
      <c r="F383" s="4" t="s">
        <v>36</v>
      </c>
      <c r="G383" s="4" t="s">
        <v>15</v>
      </c>
      <c r="H383" s="4">
        <v>2</v>
      </c>
      <c r="I383" s="4" t="s">
        <v>37</v>
      </c>
      <c r="J383" s="4" t="s">
        <v>28</v>
      </c>
      <c r="K383" s="4">
        <v>30</v>
      </c>
      <c r="L383" s="4" t="str">
        <f t="shared" si="5"/>
        <v>Adolescent</v>
      </c>
      <c r="M383" s="4" t="s">
        <v>22</v>
      </c>
    </row>
    <row r="384" spans="1:13" x14ac:dyDescent="0.3">
      <c r="A384" s="4">
        <v>383</v>
      </c>
      <c r="B384" s="4" t="s">
        <v>40</v>
      </c>
      <c r="C384" s="4" t="s">
        <v>12</v>
      </c>
      <c r="D384" s="4">
        <v>103861</v>
      </c>
      <c r="E384" s="4" t="s">
        <v>20</v>
      </c>
      <c r="F384" s="4" t="s">
        <v>14</v>
      </c>
      <c r="G384" s="4" t="s">
        <v>15</v>
      </c>
      <c r="H384" s="4">
        <v>1</v>
      </c>
      <c r="I384" s="4" t="s">
        <v>27</v>
      </c>
      <c r="J384" s="4" t="s">
        <v>28</v>
      </c>
      <c r="K384" s="4">
        <v>59</v>
      </c>
      <c r="L384" s="4" t="str">
        <f t="shared" si="5"/>
        <v>Old</v>
      </c>
      <c r="M384" s="4" t="s">
        <v>15</v>
      </c>
    </row>
    <row r="385" spans="1:13" x14ac:dyDescent="0.3">
      <c r="A385" s="4">
        <v>384</v>
      </c>
      <c r="B385" s="4" t="s">
        <v>40</v>
      </c>
      <c r="C385" s="4" t="s">
        <v>12</v>
      </c>
      <c r="D385" s="4">
        <v>56326</v>
      </c>
      <c r="E385" s="4" t="s">
        <v>26</v>
      </c>
      <c r="F385" s="4" t="s">
        <v>21</v>
      </c>
      <c r="G385" s="4" t="s">
        <v>15</v>
      </c>
      <c r="H385" s="4">
        <v>2</v>
      </c>
      <c r="I385" s="4" t="s">
        <v>27</v>
      </c>
      <c r="J385" s="4" t="s">
        <v>28</v>
      </c>
      <c r="K385" s="4">
        <v>29</v>
      </c>
      <c r="L385" s="4" t="str">
        <f t="shared" si="5"/>
        <v>Adolescent</v>
      </c>
      <c r="M385" s="4" t="s">
        <v>22</v>
      </c>
    </row>
    <row r="386" spans="1:13" x14ac:dyDescent="0.3">
      <c r="A386" s="4">
        <v>385</v>
      </c>
      <c r="B386" s="4" t="s">
        <v>40</v>
      </c>
      <c r="C386" s="4" t="s">
        <v>19</v>
      </c>
      <c r="D386" s="4">
        <v>58795</v>
      </c>
      <c r="E386" s="4" t="s">
        <v>26</v>
      </c>
      <c r="F386" s="4" t="s">
        <v>21</v>
      </c>
      <c r="G386" s="4" t="s">
        <v>15</v>
      </c>
      <c r="H386" s="4">
        <v>2</v>
      </c>
      <c r="I386" s="4" t="s">
        <v>23</v>
      </c>
      <c r="J386" s="4" t="s">
        <v>17</v>
      </c>
      <c r="K386" s="4">
        <v>41</v>
      </c>
      <c r="L386" s="4" t="str">
        <f t="shared" ref="L386:L449" si="6">IF(K386&gt;54,"Old",IF(K386&gt;31,"Middle Age",IF(K386&lt;31,"Adolescent","Invalid")))</f>
        <v>Middle Age</v>
      </c>
      <c r="M386" s="4" t="s">
        <v>15</v>
      </c>
    </row>
    <row r="387" spans="1:13" x14ac:dyDescent="0.3">
      <c r="A387" s="4">
        <v>386</v>
      </c>
      <c r="B387" s="4" t="s">
        <v>40</v>
      </c>
      <c r="C387" s="4" t="s">
        <v>12</v>
      </c>
      <c r="D387" s="4">
        <v>84295</v>
      </c>
      <c r="E387" s="4" t="s">
        <v>31</v>
      </c>
      <c r="F387" s="4" t="s">
        <v>21</v>
      </c>
      <c r="G387" s="4" t="s">
        <v>22</v>
      </c>
      <c r="H387" s="4">
        <v>2</v>
      </c>
      <c r="I387" s="4" t="s">
        <v>33</v>
      </c>
      <c r="J387" s="4" t="s">
        <v>34</v>
      </c>
      <c r="K387" s="4">
        <v>59</v>
      </c>
      <c r="L387" s="4" t="str">
        <f t="shared" si="6"/>
        <v>Old</v>
      </c>
      <c r="M387" s="4" t="s">
        <v>15</v>
      </c>
    </row>
    <row r="388" spans="1:13" x14ac:dyDescent="0.3">
      <c r="A388" s="4">
        <v>387</v>
      </c>
      <c r="B388" s="4" t="s">
        <v>40</v>
      </c>
      <c r="C388" s="4" t="s">
        <v>12</v>
      </c>
      <c r="D388" s="4">
        <v>103322</v>
      </c>
      <c r="E388" s="4" t="s">
        <v>13</v>
      </c>
      <c r="F388" s="4" t="s">
        <v>14</v>
      </c>
      <c r="G388" s="4" t="s">
        <v>15</v>
      </c>
      <c r="H388" s="4">
        <v>3</v>
      </c>
      <c r="I388" s="4" t="s">
        <v>23</v>
      </c>
      <c r="J388" s="4" t="s">
        <v>28</v>
      </c>
      <c r="K388" s="4">
        <v>36</v>
      </c>
      <c r="L388" s="4" t="str">
        <f t="shared" si="6"/>
        <v>Middle Age</v>
      </c>
      <c r="M388" s="4" t="s">
        <v>15</v>
      </c>
    </row>
    <row r="389" spans="1:13" x14ac:dyDescent="0.3">
      <c r="A389" s="4">
        <v>388</v>
      </c>
      <c r="B389" s="4" t="s">
        <v>40</v>
      </c>
      <c r="C389" s="4" t="s">
        <v>12</v>
      </c>
      <c r="D389" s="4">
        <v>36110</v>
      </c>
      <c r="E389" s="4" t="s">
        <v>13</v>
      </c>
      <c r="F389" s="4" t="s">
        <v>36</v>
      </c>
      <c r="G389" s="4" t="s">
        <v>22</v>
      </c>
      <c r="H389" s="4">
        <v>2</v>
      </c>
      <c r="I389" s="4" t="s">
        <v>27</v>
      </c>
      <c r="J389" s="4" t="s">
        <v>17</v>
      </c>
      <c r="K389" s="4">
        <v>46</v>
      </c>
      <c r="L389" s="4" t="str">
        <f t="shared" si="6"/>
        <v>Middle Age</v>
      </c>
      <c r="M389" s="4" t="s">
        <v>15</v>
      </c>
    </row>
    <row r="390" spans="1:13" x14ac:dyDescent="0.3">
      <c r="A390" s="4">
        <v>389</v>
      </c>
      <c r="B390" s="4" t="s">
        <v>40</v>
      </c>
      <c r="C390" s="4" t="s">
        <v>19</v>
      </c>
      <c r="D390" s="4">
        <v>40189</v>
      </c>
      <c r="E390" s="4" t="s">
        <v>31</v>
      </c>
      <c r="F390" s="4" t="s">
        <v>21</v>
      </c>
      <c r="G390" s="4" t="s">
        <v>15</v>
      </c>
      <c r="H390" s="4">
        <v>3</v>
      </c>
      <c r="I390" s="4" t="s">
        <v>27</v>
      </c>
      <c r="J390" s="4" t="s">
        <v>34</v>
      </c>
      <c r="K390" s="4">
        <v>54</v>
      </c>
      <c r="L390" s="4" t="str">
        <f t="shared" si="6"/>
        <v>Middle Age</v>
      </c>
      <c r="M390" s="4" t="s">
        <v>15</v>
      </c>
    </row>
    <row r="391" spans="1:13" x14ac:dyDescent="0.3">
      <c r="A391" s="4">
        <v>390</v>
      </c>
      <c r="B391" s="4" t="s">
        <v>41</v>
      </c>
      <c r="C391" s="4" t="s">
        <v>19</v>
      </c>
      <c r="D391" s="4">
        <v>62190</v>
      </c>
      <c r="E391" s="4" t="s">
        <v>20</v>
      </c>
      <c r="F391" s="4" t="s">
        <v>35</v>
      </c>
      <c r="G391" s="4" t="s">
        <v>22</v>
      </c>
      <c r="H391" s="4">
        <v>0</v>
      </c>
      <c r="I391" s="4" t="s">
        <v>37</v>
      </c>
      <c r="J391" s="4" t="s">
        <v>17</v>
      </c>
      <c r="K391" s="4">
        <v>40</v>
      </c>
      <c r="L391" s="4" t="str">
        <f t="shared" si="6"/>
        <v>Middle Age</v>
      </c>
      <c r="M391" s="4" t="s">
        <v>22</v>
      </c>
    </row>
    <row r="392" spans="1:13" x14ac:dyDescent="0.3">
      <c r="A392" s="4">
        <v>391</v>
      </c>
      <c r="B392" s="4" t="s">
        <v>41</v>
      </c>
      <c r="C392" s="4" t="s">
        <v>19</v>
      </c>
      <c r="D392" s="4">
        <v>105076</v>
      </c>
      <c r="E392" s="4" t="s">
        <v>31</v>
      </c>
      <c r="F392" s="4" t="s">
        <v>14</v>
      </c>
      <c r="G392" s="4" t="s">
        <v>15</v>
      </c>
      <c r="H392" s="4">
        <v>1</v>
      </c>
      <c r="I392" s="4" t="s">
        <v>33</v>
      </c>
      <c r="J392" s="4" t="s">
        <v>17</v>
      </c>
      <c r="K392" s="4">
        <v>58</v>
      </c>
      <c r="L392" s="4" t="str">
        <f t="shared" si="6"/>
        <v>Old</v>
      </c>
      <c r="M392" s="4" t="s">
        <v>15</v>
      </c>
    </row>
    <row r="393" spans="1:13" x14ac:dyDescent="0.3">
      <c r="A393" s="4">
        <v>392</v>
      </c>
      <c r="B393" s="4" t="s">
        <v>40</v>
      </c>
      <c r="C393" s="4" t="s">
        <v>19</v>
      </c>
      <c r="D393" s="4">
        <v>57793</v>
      </c>
      <c r="E393" s="4" t="s">
        <v>13</v>
      </c>
      <c r="F393" s="4" t="s">
        <v>32</v>
      </c>
      <c r="G393" s="4" t="s">
        <v>15</v>
      </c>
      <c r="H393" s="4">
        <v>3</v>
      </c>
      <c r="I393" s="4" t="s">
        <v>27</v>
      </c>
      <c r="J393" s="4" t="s">
        <v>28</v>
      </c>
      <c r="K393" s="4">
        <v>18</v>
      </c>
      <c r="L393" s="4" t="str">
        <f t="shared" si="6"/>
        <v>Adolescent</v>
      </c>
      <c r="M393" s="4" t="s">
        <v>15</v>
      </c>
    </row>
    <row r="394" spans="1:13" x14ac:dyDescent="0.3">
      <c r="A394" s="4">
        <v>393</v>
      </c>
      <c r="B394" s="4" t="s">
        <v>40</v>
      </c>
      <c r="C394" s="4" t="s">
        <v>19</v>
      </c>
      <c r="D394" s="4">
        <v>85244</v>
      </c>
      <c r="E394" s="4" t="s">
        <v>31</v>
      </c>
      <c r="F394" s="4" t="s">
        <v>35</v>
      </c>
      <c r="G394" s="4" t="s">
        <v>15</v>
      </c>
      <c r="H394" s="4">
        <v>0</v>
      </c>
      <c r="I394" s="4" t="s">
        <v>33</v>
      </c>
      <c r="J394" s="4" t="s">
        <v>17</v>
      </c>
      <c r="K394" s="4">
        <v>36</v>
      </c>
      <c r="L394" s="4" t="str">
        <f t="shared" si="6"/>
        <v>Middle Age</v>
      </c>
      <c r="M394" s="4" t="s">
        <v>15</v>
      </c>
    </row>
    <row r="395" spans="1:13" x14ac:dyDescent="0.3">
      <c r="A395" s="4">
        <v>394</v>
      </c>
      <c r="B395" s="4" t="s">
        <v>40</v>
      </c>
      <c r="C395" s="4" t="s">
        <v>12</v>
      </c>
      <c r="D395" s="4">
        <v>115299</v>
      </c>
      <c r="E395" s="4" t="s">
        <v>13</v>
      </c>
      <c r="F395" s="4" t="s">
        <v>14</v>
      </c>
      <c r="G395" s="4" t="s">
        <v>22</v>
      </c>
      <c r="H395" s="4">
        <v>1</v>
      </c>
      <c r="I395" s="4" t="s">
        <v>37</v>
      </c>
      <c r="J395" s="4" t="s">
        <v>34</v>
      </c>
      <c r="K395" s="4">
        <v>57</v>
      </c>
      <c r="L395" s="4" t="str">
        <f t="shared" si="6"/>
        <v>Old</v>
      </c>
      <c r="M395" s="4" t="s">
        <v>15</v>
      </c>
    </row>
    <row r="396" spans="1:13" x14ac:dyDescent="0.3">
      <c r="A396" s="4">
        <v>395</v>
      </c>
      <c r="B396" s="4" t="s">
        <v>40</v>
      </c>
      <c r="C396" s="4" t="s">
        <v>19</v>
      </c>
      <c r="D396" s="4">
        <v>52321</v>
      </c>
      <c r="E396" s="4" t="s">
        <v>31</v>
      </c>
      <c r="F396" s="4" t="s">
        <v>32</v>
      </c>
      <c r="G396" s="4" t="s">
        <v>22</v>
      </c>
      <c r="H396" s="4">
        <v>3</v>
      </c>
      <c r="I396" s="4" t="s">
        <v>16</v>
      </c>
      <c r="J396" s="4" t="s">
        <v>17</v>
      </c>
      <c r="K396" s="4">
        <v>18</v>
      </c>
      <c r="L396" s="4" t="str">
        <f t="shared" si="6"/>
        <v>Adolescent</v>
      </c>
      <c r="M396" s="4" t="s">
        <v>15</v>
      </c>
    </row>
    <row r="397" spans="1:13" x14ac:dyDescent="0.3">
      <c r="A397" s="4">
        <v>396</v>
      </c>
      <c r="B397" s="4" t="s">
        <v>40</v>
      </c>
      <c r="C397" s="4" t="s">
        <v>12</v>
      </c>
      <c r="D397" s="4">
        <v>81987</v>
      </c>
      <c r="E397" s="4" t="s">
        <v>26</v>
      </c>
      <c r="F397" s="4" t="s">
        <v>35</v>
      </c>
      <c r="G397" s="4" t="s">
        <v>22</v>
      </c>
      <c r="H397" s="4">
        <v>0</v>
      </c>
      <c r="I397" s="4" t="s">
        <v>33</v>
      </c>
      <c r="J397" s="4" t="s">
        <v>34</v>
      </c>
      <c r="K397" s="4">
        <v>39</v>
      </c>
      <c r="L397" s="4" t="str">
        <f t="shared" si="6"/>
        <v>Middle Age</v>
      </c>
      <c r="M397" s="4" t="s">
        <v>22</v>
      </c>
    </row>
    <row r="398" spans="1:13" x14ac:dyDescent="0.3">
      <c r="A398" s="4">
        <v>397</v>
      </c>
      <c r="B398" s="4" t="s">
        <v>40</v>
      </c>
      <c r="C398" s="4" t="s">
        <v>12</v>
      </c>
      <c r="D398" s="4">
        <v>106030</v>
      </c>
      <c r="E398" s="4" t="s">
        <v>13</v>
      </c>
      <c r="F398" s="4" t="s">
        <v>36</v>
      </c>
      <c r="G398" s="4" t="s">
        <v>22</v>
      </c>
      <c r="H398" s="4">
        <v>3</v>
      </c>
      <c r="I398" s="4" t="s">
        <v>16</v>
      </c>
      <c r="J398" s="4" t="s">
        <v>17</v>
      </c>
      <c r="K398" s="4">
        <v>53</v>
      </c>
      <c r="L398" s="4" t="str">
        <f t="shared" si="6"/>
        <v>Middle Age</v>
      </c>
      <c r="M398" s="4" t="s">
        <v>15</v>
      </c>
    </row>
    <row r="399" spans="1:13" x14ac:dyDescent="0.3">
      <c r="A399" s="4">
        <v>398</v>
      </c>
      <c r="B399" s="4" t="s">
        <v>40</v>
      </c>
      <c r="C399" s="4" t="s">
        <v>19</v>
      </c>
      <c r="D399" s="4">
        <v>106812</v>
      </c>
      <c r="E399" s="4" t="s">
        <v>31</v>
      </c>
      <c r="F399" s="4" t="s">
        <v>36</v>
      </c>
      <c r="G399" s="4" t="s">
        <v>15</v>
      </c>
      <c r="H399" s="4">
        <v>2</v>
      </c>
      <c r="I399" s="4" t="s">
        <v>16</v>
      </c>
      <c r="J399" s="4" t="s">
        <v>17</v>
      </c>
      <c r="K399" s="4">
        <v>35</v>
      </c>
      <c r="L399" s="4" t="str">
        <f t="shared" si="6"/>
        <v>Middle Age</v>
      </c>
      <c r="M399" s="4" t="s">
        <v>15</v>
      </c>
    </row>
    <row r="400" spans="1:13" x14ac:dyDescent="0.3">
      <c r="A400" s="4">
        <v>399</v>
      </c>
      <c r="B400" s="4" t="s">
        <v>40</v>
      </c>
      <c r="C400" s="4" t="s">
        <v>12</v>
      </c>
      <c r="D400" s="4">
        <v>59986</v>
      </c>
      <c r="E400" s="4" t="s">
        <v>26</v>
      </c>
      <c r="F400" s="4" t="s">
        <v>14</v>
      </c>
      <c r="G400" s="4" t="s">
        <v>15</v>
      </c>
      <c r="H400" s="4">
        <v>2</v>
      </c>
      <c r="I400" s="4" t="s">
        <v>37</v>
      </c>
      <c r="J400" s="4" t="s">
        <v>24</v>
      </c>
      <c r="K400" s="4">
        <v>58</v>
      </c>
      <c r="L400" s="4" t="str">
        <f t="shared" si="6"/>
        <v>Old</v>
      </c>
      <c r="M400" s="4" t="s">
        <v>15</v>
      </c>
    </row>
    <row r="401" spans="1:13" x14ac:dyDescent="0.3">
      <c r="A401" s="4">
        <v>400</v>
      </c>
      <c r="B401" s="4" t="s">
        <v>40</v>
      </c>
      <c r="C401" s="4" t="s">
        <v>12</v>
      </c>
      <c r="D401" s="4">
        <v>60214</v>
      </c>
      <c r="E401" s="4" t="s">
        <v>26</v>
      </c>
      <c r="F401" s="4" t="s">
        <v>36</v>
      </c>
      <c r="G401" s="4" t="s">
        <v>22</v>
      </c>
      <c r="H401" s="4">
        <v>2</v>
      </c>
      <c r="I401" s="4" t="s">
        <v>37</v>
      </c>
      <c r="J401" s="4" t="s">
        <v>34</v>
      </c>
      <c r="K401" s="4">
        <v>29</v>
      </c>
      <c r="L401" s="4" t="str">
        <f t="shared" si="6"/>
        <v>Adolescent</v>
      </c>
      <c r="M401" s="4" t="s">
        <v>22</v>
      </c>
    </row>
    <row r="402" spans="1:13" x14ac:dyDescent="0.3">
      <c r="A402" s="4">
        <v>401</v>
      </c>
      <c r="B402" s="4" t="s">
        <v>40</v>
      </c>
      <c r="C402" s="4" t="s">
        <v>12</v>
      </c>
      <c r="D402" s="4">
        <v>25915</v>
      </c>
      <c r="E402" s="4" t="s">
        <v>13</v>
      </c>
      <c r="F402" s="4" t="s">
        <v>32</v>
      </c>
      <c r="G402" s="4" t="s">
        <v>15</v>
      </c>
      <c r="H402" s="4">
        <v>3</v>
      </c>
      <c r="I402" s="4" t="s">
        <v>37</v>
      </c>
      <c r="J402" s="4" t="s">
        <v>17</v>
      </c>
      <c r="K402" s="4">
        <v>32</v>
      </c>
      <c r="L402" s="4" t="str">
        <f t="shared" si="6"/>
        <v>Middle Age</v>
      </c>
      <c r="M402" s="4" t="s">
        <v>15</v>
      </c>
    </row>
    <row r="403" spans="1:13" x14ac:dyDescent="0.3">
      <c r="A403" s="4">
        <v>402</v>
      </c>
      <c r="B403" s="4" t="s">
        <v>40</v>
      </c>
      <c r="C403" s="4" t="s">
        <v>12</v>
      </c>
      <c r="D403" s="4">
        <v>22376</v>
      </c>
      <c r="E403" s="4" t="s">
        <v>13</v>
      </c>
      <c r="F403" s="4" t="s">
        <v>32</v>
      </c>
      <c r="G403" s="4" t="s">
        <v>15</v>
      </c>
      <c r="H403" s="4">
        <v>0</v>
      </c>
      <c r="I403" s="4" t="s">
        <v>23</v>
      </c>
      <c r="J403" s="4" t="s">
        <v>34</v>
      </c>
      <c r="K403" s="4">
        <v>54</v>
      </c>
      <c r="L403" s="4" t="str">
        <f t="shared" si="6"/>
        <v>Middle Age</v>
      </c>
      <c r="M403" s="4" t="s">
        <v>15</v>
      </c>
    </row>
    <row r="404" spans="1:13" x14ac:dyDescent="0.3">
      <c r="A404" s="4">
        <v>403</v>
      </c>
      <c r="B404" s="4" t="s">
        <v>41</v>
      </c>
      <c r="C404" s="4" t="s">
        <v>12</v>
      </c>
      <c r="D404" s="4">
        <v>60108</v>
      </c>
      <c r="E404" s="4" t="s">
        <v>31</v>
      </c>
      <c r="F404" s="4" t="s">
        <v>32</v>
      </c>
      <c r="G404" s="4" t="s">
        <v>22</v>
      </c>
      <c r="H404" s="4">
        <v>0</v>
      </c>
      <c r="I404" s="4" t="s">
        <v>16</v>
      </c>
      <c r="J404" s="4" t="s">
        <v>24</v>
      </c>
      <c r="K404" s="4">
        <v>25</v>
      </c>
      <c r="L404" s="4" t="str">
        <f t="shared" si="6"/>
        <v>Adolescent</v>
      </c>
      <c r="M404" s="4" t="s">
        <v>15</v>
      </c>
    </row>
    <row r="405" spans="1:13" x14ac:dyDescent="0.3">
      <c r="A405" s="4">
        <v>404</v>
      </c>
      <c r="B405" s="4" t="s">
        <v>41</v>
      </c>
      <c r="C405" s="4" t="s">
        <v>12</v>
      </c>
      <c r="D405" s="4">
        <v>44626</v>
      </c>
      <c r="E405" s="4" t="s">
        <v>26</v>
      </c>
      <c r="F405" s="4" t="s">
        <v>35</v>
      </c>
      <c r="G405" s="4" t="s">
        <v>15</v>
      </c>
      <c r="H405" s="4">
        <v>0</v>
      </c>
      <c r="I405" s="4" t="s">
        <v>33</v>
      </c>
      <c r="J405" s="4" t="s">
        <v>24</v>
      </c>
      <c r="K405" s="4">
        <v>43</v>
      </c>
      <c r="L405" s="4" t="str">
        <f t="shared" si="6"/>
        <v>Middle Age</v>
      </c>
      <c r="M405" s="4" t="s">
        <v>15</v>
      </c>
    </row>
    <row r="406" spans="1:13" x14ac:dyDescent="0.3">
      <c r="A406" s="4">
        <v>405</v>
      </c>
      <c r="B406" s="4" t="s">
        <v>41</v>
      </c>
      <c r="C406" s="4" t="s">
        <v>19</v>
      </c>
      <c r="D406" s="4">
        <v>77796</v>
      </c>
      <c r="E406" s="4" t="s">
        <v>13</v>
      </c>
      <c r="F406" s="4" t="s">
        <v>14</v>
      </c>
      <c r="G406" s="4" t="s">
        <v>22</v>
      </c>
      <c r="H406" s="4">
        <v>2</v>
      </c>
      <c r="I406" s="4" t="s">
        <v>16</v>
      </c>
      <c r="J406" s="4" t="s">
        <v>28</v>
      </c>
      <c r="K406" s="4">
        <v>42</v>
      </c>
      <c r="L406" s="4" t="str">
        <f t="shared" si="6"/>
        <v>Middle Age</v>
      </c>
      <c r="M406" s="4" t="s">
        <v>22</v>
      </c>
    </row>
    <row r="407" spans="1:13" x14ac:dyDescent="0.3">
      <c r="A407" s="4">
        <v>406</v>
      </c>
      <c r="B407" s="4" t="s">
        <v>41</v>
      </c>
      <c r="C407" s="4" t="s">
        <v>19</v>
      </c>
      <c r="D407" s="4">
        <v>42217</v>
      </c>
      <c r="E407" s="4" t="s">
        <v>20</v>
      </c>
      <c r="F407" s="4" t="s">
        <v>14</v>
      </c>
      <c r="G407" s="4" t="s">
        <v>15</v>
      </c>
      <c r="H407" s="4">
        <v>1</v>
      </c>
      <c r="I407" s="4" t="s">
        <v>16</v>
      </c>
      <c r="J407" s="4" t="s">
        <v>28</v>
      </c>
      <c r="K407" s="4">
        <v>60</v>
      </c>
      <c r="L407" s="4" t="str">
        <f t="shared" si="6"/>
        <v>Old</v>
      </c>
      <c r="M407" s="4" t="s">
        <v>15</v>
      </c>
    </row>
    <row r="408" spans="1:13" x14ac:dyDescent="0.3">
      <c r="A408" s="4">
        <v>407</v>
      </c>
      <c r="B408" s="4" t="s">
        <v>41</v>
      </c>
      <c r="C408" s="4" t="s">
        <v>19</v>
      </c>
      <c r="D408" s="4">
        <v>83934</v>
      </c>
      <c r="E408" s="4" t="s">
        <v>20</v>
      </c>
      <c r="F408" s="4" t="s">
        <v>32</v>
      </c>
      <c r="G408" s="4" t="s">
        <v>22</v>
      </c>
      <c r="H408" s="4">
        <v>3</v>
      </c>
      <c r="I408" s="4" t="s">
        <v>37</v>
      </c>
      <c r="J408" s="4" t="s">
        <v>28</v>
      </c>
      <c r="K408" s="4">
        <v>34</v>
      </c>
      <c r="L408" s="4" t="str">
        <f t="shared" si="6"/>
        <v>Middle Age</v>
      </c>
      <c r="M408" s="4" t="s">
        <v>15</v>
      </c>
    </row>
    <row r="409" spans="1:13" x14ac:dyDescent="0.3">
      <c r="A409" s="4">
        <v>408</v>
      </c>
      <c r="B409" s="4" t="s">
        <v>40</v>
      </c>
      <c r="C409" s="4" t="s">
        <v>19</v>
      </c>
      <c r="D409" s="4">
        <v>112714</v>
      </c>
      <c r="E409" s="4" t="s">
        <v>26</v>
      </c>
      <c r="F409" s="4" t="s">
        <v>36</v>
      </c>
      <c r="G409" s="4" t="s">
        <v>15</v>
      </c>
      <c r="H409" s="4">
        <v>1</v>
      </c>
      <c r="I409" s="4" t="s">
        <v>23</v>
      </c>
      <c r="J409" s="4" t="s">
        <v>17</v>
      </c>
      <c r="K409" s="4">
        <v>27</v>
      </c>
      <c r="L409" s="4" t="str">
        <f t="shared" si="6"/>
        <v>Adolescent</v>
      </c>
      <c r="M409" s="4" t="s">
        <v>22</v>
      </c>
    </row>
    <row r="410" spans="1:13" x14ac:dyDescent="0.3">
      <c r="A410" s="4">
        <v>409</v>
      </c>
      <c r="B410" s="4" t="s">
        <v>40</v>
      </c>
      <c r="C410" s="4" t="s">
        <v>19</v>
      </c>
      <c r="D410" s="4">
        <v>116770</v>
      </c>
      <c r="E410" s="4" t="s">
        <v>20</v>
      </c>
      <c r="F410" s="4" t="s">
        <v>14</v>
      </c>
      <c r="G410" s="4" t="s">
        <v>15</v>
      </c>
      <c r="H410" s="4">
        <v>0</v>
      </c>
      <c r="I410" s="4" t="s">
        <v>27</v>
      </c>
      <c r="J410" s="4" t="s">
        <v>28</v>
      </c>
      <c r="K410" s="4">
        <v>47</v>
      </c>
      <c r="L410" s="4" t="str">
        <f t="shared" si="6"/>
        <v>Middle Age</v>
      </c>
      <c r="M410" s="4" t="s">
        <v>15</v>
      </c>
    </row>
    <row r="411" spans="1:13" x14ac:dyDescent="0.3">
      <c r="A411" s="4">
        <v>410</v>
      </c>
      <c r="B411" s="4" t="s">
        <v>40</v>
      </c>
      <c r="C411" s="4" t="s">
        <v>19</v>
      </c>
      <c r="D411" s="4">
        <v>29280</v>
      </c>
      <c r="E411" s="4" t="s">
        <v>13</v>
      </c>
      <c r="F411" s="4" t="s">
        <v>36</v>
      </c>
      <c r="G411" s="4" t="s">
        <v>15</v>
      </c>
      <c r="H411" s="4">
        <v>0</v>
      </c>
      <c r="I411" s="4" t="s">
        <v>37</v>
      </c>
      <c r="J411" s="4" t="s">
        <v>28</v>
      </c>
      <c r="K411" s="4">
        <v>47</v>
      </c>
      <c r="L411" s="4" t="str">
        <f t="shared" si="6"/>
        <v>Middle Age</v>
      </c>
      <c r="M411" s="4" t="s">
        <v>15</v>
      </c>
    </row>
    <row r="412" spans="1:13" x14ac:dyDescent="0.3">
      <c r="A412" s="4">
        <v>411</v>
      </c>
      <c r="B412" s="4" t="s">
        <v>40</v>
      </c>
      <c r="C412" s="4" t="s">
        <v>19</v>
      </c>
      <c r="D412" s="4">
        <v>35278</v>
      </c>
      <c r="E412" s="4" t="s">
        <v>31</v>
      </c>
      <c r="F412" s="4" t="s">
        <v>32</v>
      </c>
      <c r="G412" s="4" t="s">
        <v>15</v>
      </c>
      <c r="H412" s="4">
        <v>3</v>
      </c>
      <c r="I412" s="4" t="s">
        <v>27</v>
      </c>
      <c r="J412" s="4" t="s">
        <v>17</v>
      </c>
      <c r="K412" s="4">
        <v>43</v>
      </c>
      <c r="L412" s="4" t="str">
        <f t="shared" si="6"/>
        <v>Middle Age</v>
      </c>
      <c r="M412" s="4" t="s">
        <v>15</v>
      </c>
    </row>
    <row r="413" spans="1:13" x14ac:dyDescent="0.3">
      <c r="A413" s="4">
        <v>412</v>
      </c>
      <c r="B413" s="4" t="s">
        <v>40</v>
      </c>
      <c r="C413" s="4" t="s">
        <v>12</v>
      </c>
      <c r="D413" s="4">
        <v>75415</v>
      </c>
      <c r="E413" s="4" t="s">
        <v>13</v>
      </c>
      <c r="F413" s="4" t="s">
        <v>36</v>
      </c>
      <c r="G413" s="4" t="s">
        <v>22</v>
      </c>
      <c r="H413" s="4">
        <v>0</v>
      </c>
      <c r="I413" s="4" t="s">
        <v>23</v>
      </c>
      <c r="J413" s="4" t="s">
        <v>28</v>
      </c>
      <c r="K413" s="4">
        <v>32</v>
      </c>
      <c r="L413" s="4" t="str">
        <f t="shared" si="6"/>
        <v>Middle Age</v>
      </c>
      <c r="M413" s="4" t="s">
        <v>22</v>
      </c>
    </row>
    <row r="414" spans="1:13" x14ac:dyDescent="0.3">
      <c r="A414" s="4">
        <v>413</v>
      </c>
      <c r="B414" s="4" t="s">
        <v>40</v>
      </c>
      <c r="C414" s="4" t="s">
        <v>19</v>
      </c>
      <c r="D414" s="4">
        <v>88363</v>
      </c>
      <c r="E414" s="4" t="s">
        <v>26</v>
      </c>
      <c r="F414" s="4" t="s">
        <v>35</v>
      </c>
      <c r="G414" s="4" t="s">
        <v>22</v>
      </c>
      <c r="H414" s="4">
        <v>0</v>
      </c>
      <c r="I414" s="4" t="s">
        <v>16</v>
      </c>
      <c r="J414" s="4" t="s">
        <v>34</v>
      </c>
      <c r="K414" s="4">
        <v>32</v>
      </c>
      <c r="L414" s="4" t="str">
        <f t="shared" si="6"/>
        <v>Middle Age</v>
      </c>
      <c r="M414" s="4" t="s">
        <v>15</v>
      </c>
    </row>
    <row r="415" spans="1:13" x14ac:dyDescent="0.3">
      <c r="A415" s="4">
        <v>414</v>
      </c>
      <c r="B415" s="4" t="s">
        <v>40</v>
      </c>
      <c r="C415" s="4" t="s">
        <v>19</v>
      </c>
      <c r="D415" s="4">
        <v>23482</v>
      </c>
      <c r="E415" s="4" t="s">
        <v>20</v>
      </c>
      <c r="F415" s="4" t="s">
        <v>21</v>
      </c>
      <c r="G415" s="4" t="s">
        <v>15</v>
      </c>
      <c r="H415" s="4">
        <v>3</v>
      </c>
      <c r="I415" s="4" t="s">
        <v>23</v>
      </c>
      <c r="J415" s="4" t="s">
        <v>28</v>
      </c>
      <c r="K415" s="4">
        <v>44</v>
      </c>
      <c r="L415" s="4" t="str">
        <f t="shared" si="6"/>
        <v>Middle Age</v>
      </c>
      <c r="M415" s="4" t="s">
        <v>15</v>
      </c>
    </row>
    <row r="416" spans="1:13" x14ac:dyDescent="0.3">
      <c r="A416" s="4">
        <v>415</v>
      </c>
      <c r="B416" s="4" t="s">
        <v>40</v>
      </c>
      <c r="C416" s="4" t="s">
        <v>19</v>
      </c>
      <c r="D416" s="4">
        <v>22894</v>
      </c>
      <c r="E416" s="4" t="s">
        <v>26</v>
      </c>
      <c r="F416" s="4" t="s">
        <v>14</v>
      </c>
      <c r="G416" s="4" t="s">
        <v>22</v>
      </c>
      <c r="H416" s="4">
        <v>0</v>
      </c>
      <c r="I416" s="4" t="s">
        <v>27</v>
      </c>
      <c r="J416" s="4" t="s">
        <v>28</v>
      </c>
      <c r="K416" s="4">
        <v>53</v>
      </c>
      <c r="L416" s="4" t="str">
        <f t="shared" si="6"/>
        <v>Middle Age</v>
      </c>
      <c r="M416" s="4" t="s">
        <v>15</v>
      </c>
    </row>
    <row r="417" spans="1:13" x14ac:dyDescent="0.3">
      <c r="A417" s="4">
        <v>416</v>
      </c>
      <c r="B417" s="4" t="s">
        <v>40</v>
      </c>
      <c r="C417" s="4" t="s">
        <v>12</v>
      </c>
      <c r="D417" s="4">
        <v>41124</v>
      </c>
      <c r="E417" s="4" t="s">
        <v>13</v>
      </c>
      <c r="F417" s="4" t="s">
        <v>21</v>
      </c>
      <c r="G417" s="4" t="s">
        <v>15</v>
      </c>
      <c r="H417" s="4">
        <v>0</v>
      </c>
      <c r="I417" s="4" t="s">
        <v>23</v>
      </c>
      <c r="J417" s="4" t="s">
        <v>34</v>
      </c>
      <c r="K417" s="4">
        <v>50</v>
      </c>
      <c r="L417" s="4" t="str">
        <f t="shared" si="6"/>
        <v>Middle Age</v>
      </c>
      <c r="M417" s="4" t="s">
        <v>15</v>
      </c>
    </row>
    <row r="418" spans="1:13" x14ac:dyDescent="0.3">
      <c r="A418" s="4">
        <v>417</v>
      </c>
      <c r="B418" s="4" t="s">
        <v>40</v>
      </c>
      <c r="C418" s="4" t="s">
        <v>19</v>
      </c>
      <c r="D418" s="4">
        <v>43173</v>
      </c>
      <c r="E418" s="4" t="s">
        <v>20</v>
      </c>
      <c r="F418" s="4" t="s">
        <v>36</v>
      </c>
      <c r="G418" s="4" t="s">
        <v>22</v>
      </c>
      <c r="H418" s="4">
        <v>1</v>
      </c>
      <c r="I418" s="4" t="s">
        <v>23</v>
      </c>
      <c r="J418" s="4" t="s">
        <v>17</v>
      </c>
      <c r="K418" s="4">
        <v>60</v>
      </c>
      <c r="L418" s="4" t="str">
        <f t="shared" si="6"/>
        <v>Old</v>
      </c>
      <c r="M418" s="4" t="s">
        <v>15</v>
      </c>
    </row>
    <row r="419" spans="1:13" x14ac:dyDescent="0.3">
      <c r="A419" s="4">
        <v>418</v>
      </c>
      <c r="B419" s="4" t="s">
        <v>40</v>
      </c>
      <c r="C419" s="4" t="s">
        <v>19</v>
      </c>
      <c r="D419" s="4">
        <v>109447</v>
      </c>
      <c r="E419" s="4" t="s">
        <v>26</v>
      </c>
      <c r="F419" s="4" t="s">
        <v>14</v>
      </c>
      <c r="G419" s="4" t="s">
        <v>15</v>
      </c>
      <c r="H419" s="4">
        <v>3</v>
      </c>
      <c r="I419" s="4" t="s">
        <v>37</v>
      </c>
      <c r="J419" s="4" t="s">
        <v>28</v>
      </c>
      <c r="K419" s="4">
        <v>20</v>
      </c>
      <c r="L419" s="4" t="str">
        <f t="shared" si="6"/>
        <v>Adolescent</v>
      </c>
      <c r="M419" s="4" t="s">
        <v>15</v>
      </c>
    </row>
    <row r="420" spans="1:13" x14ac:dyDescent="0.3">
      <c r="A420" s="4">
        <v>419</v>
      </c>
      <c r="B420" s="4" t="s">
        <v>41</v>
      </c>
      <c r="C420" s="4" t="s">
        <v>12</v>
      </c>
      <c r="D420" s="4">
        <v>112852</v>
      </c>
      <c r="E420" s="4" t="s">
        <v>20</v>
      </c>
      <c r="F420" s="4" t="s">
        <v>32</v>
      </c>
      <c r="G420" s="4" t="s">
        <v>15</v>
      </c>
      <c r="H420" s="4">
        <v>2</v>
      </c>
      <c r="I420" s="4" t="s">
        <v>27</v>
      </c>
      <c r="J420" s="4" t="s">
        <v>28</v>
      </c>
      <c r="K420" s="4">
        <v>45</v>
      </c>
      <c r="L420" s="4" t="str">
        <f t="shared" si="6"/>
        <v>Middle Age</v>
      </c>
      <c r="M420" s="4" t="s">
        <v>15</v>
      </c>
    </row>
    <row r="421" spans="1:13" x14ac:dyDescent="0.3">
      <c r="A421" s="4">
        <v>420</v>
      </c>
      <c r="B421" s="4" t="s">
        <v>41</v>
      </c>
      <c r="C421" s="4" t="s">
        <v>12</v>
      </c>
      <c r="D421" s="4">
        <v>90000</v>
      </c>
      <c r="E421" s="4" t="s">
        <v>31</v>
      </c>
      <c r="F421" s="4" t="s">
        <v>21</v>
      </c>
      <c r="G421" s="4" t="s">
        <v>15</v>
      </c>
      <c r="H421" s="4">
        <v>1</v>
      </c>
      <c r="I421" s="4" t="s">
        <v>27</v>
      </c>
      <c r="J421" s="4" t="s">
        <v>24</v>
      </c>
      <c r="K421" s="4">
        <v>21</v>
      </c>
      <c r="L421" s="4" t="str">
        <f t="shared" si="6"/>
        <v>Adolescent</v>
      </c>
      <c r="M421" s="4" t="s">
        <v>22</v>
      </c>
    </row>
    <row r="422" spans="1:13" x14ac:dyDescent="0.3">
      <c r="A422" s="4">
        <v>421</v>
      </c>
      <c r="B422" s="4" t="s">
        <v>40</v>
      </c>
      <c r="C422" s="4" t="s">
        <v>19</v>
      </c>
      <c r="D422" s="4">
        <v>71086</v>
      </c>
      <c r="E422" s="4" t="s">
        <v>20</v>
      </c>
      <c r="F422" s="4" t="s">
        <v>35</v>
      </c>
      <c r="G422" s="4" t="s">
        <v>22</v>
      </c>
      <c r="H422" s="4">
        <v>2</v>
      </c>
      <c r="I422" s="4" t="s">
        <v>23</v>
      </c>
      <c r="J422" s="4" t="s">
        <v>24</v>
      </c>
      <c r="K422" s="4">
        <v>34</v>
      </c>
      <c r="L422" s="4" t="str">
        <f t="shared" si="6"/>
        <v>Middle Age</v>
      </c>
      <c r="M422" s="4" t="s">
        <v>22</v>
      </c>
    </row>
    <row r="423" spans="1:13" x14ac:dyDescent="0.3">
      <c r="A423" s="4">
        <v>422</v>
      </c>
      <c r="B423" s="4" t="s">
        <v>41</v>
      </c>
      <c r="C423" s="4" t="s">
        <v>19</v>
      </c>
      <c r="D423" s="4">
        <v>87401</v>
      </c>
      <c r="E423" s="4" t="s">
        <v>31</v>
      </c>
      <c r="F423" s="4" t="s">
        <v>14</v>
      </c>
      <c r="G423" s="4" t="s">
        <v>22</v>
      </c>
      <c r="H423" s="4">
        <v>1</v>
      </c>
      <c r="I423" s="4" t="s">
        <v>27</v>
      </c>
      <c r="J423" s="4" t="s">
        <v>17</v>
      </c>
      <c r="K423" s="4">
        <v>18</v>
      </c>
      <c r="L423" s="4" t="str">
        <f t="shared" si="6"/>
        <v>Adolescent</v>
      </c>
      <c r="M423" s="4" t="s">
        <v>15</v>
      </c>
    </row>
    <row r="424" spans="1:13" x14ac:dyDescent="0.3">
      <c r="A424" s="4">
        <v>423</v>
      </c>
      <c r="B424" s="4" t="s">
        <v>40</v>
      </c>
      <c r="C424" s="4" t="s">
        <v>12</v>
      </c>
      <c r="D424" s="4">
        <v>99836</v>
      </c>
      <c r="E424" s="4" t="s">
        <v>13</v>
      </c>
      <c r="F424" s="4" t="s">
        <v>35</v>
      </c>
      <c r="G424" s="4" t="s">
        <v>15</v>
      </c>
      <c r="H424" s="4">
        <v>1</v>
      </c>
      <c r="I424" s="4" t="s">
        <v>33</v>
      </c>
      <c r="J424" s="4" t="s">
        <v>28</v>
      </c>
      <c r="K424" s="4">
        <v>27</v>
      </c>
      <c r="L424" s="4" t="str">
        <f t="shared" si="6"/>
        <v>Adolescent</v>
      </c>
      <c r="M424" s="4" t="s">
        <v>15</v>
      </c>
    </row>
    <row r="425" spans="1:13" x14ac:dyDescent="0.3">
      <c r="A425" s="4">
        <v>424</v>
      </c>
      <c r="B425" s="4" t="s">
        <v>41</v>
      </c>
      <c r="C425" s="4" t="s">
        <v>19</v>
      </c>
      <c r="D425" s="4">
        <v>30333</v>
      </c>
      <c r="E425" s="4" t="s">
        <v>26</v>
      </c>
      <c r="F425" s="4" t="s">
        <v>21</v>
      </c>
      <c r="G425" s="4" t="s">
        <v>22</v>
      </c>
      <c r="H425" s="4">
        <v>1</v>
      </c>
      <c r="I425" s="4" t="s">
        <v>37</v>
      </c>
      <c r="J425" s="4" t="s">
        <v>24</v>
      </c>
      <c r="K425" s="4">
        <v>56</v>
      </c>
      <c r="L425" s="4" t="str">
        <f t="shared" si="6"/>
        <v>Old</v>
      </c>
      <c r="M425" s="4" t="s">
        <v>15</v>
      </c>
    </row>
    <row r="426" spans="1:13" x14ac:dyDescent="0.3">
      <c r="A426" s="4">
        <v>425</v>
      </c>
      <c r="B426" s="4" t="s">
        <v>40</v>
      </c>
      <c r="C426" s="4" t="s">
        <v>12</v>
      </c>
      <c r="D426" s="4">
        <v>28713</v>
      </c>
      <c r="E426" s="4" t="s">
        <v>26</v>
      </c>
      <c r="F426" s="4" t="s">
        <v>35</v>
      </c>
      <c r="G426" s="4" t="s">
        <v>15</v>
      </c>
      <c r="H426" s="4">
        <v>0</v>
      </c>
      <c r="I426" s="4" t="s">
        <v>23</v>
      </c>
      <c r="J426" s="4" t="s">
        <v>24</v>
      </c>
      <c r="K426" s="4">
        <v>52</v>
      </c>
      <c r="L426" s="4" t="str">
        <f t="shared" si="6"/>
        <v>Middle Age</v>
      </c>
      <c r="M426" s="4" t="s">
        <v>15</v>
      </c>
    </row>
    <row r="427" spans="1:13" x14ac:dyDescent="0.3">
      <c r="A427" s="4">
        <v>426</v>
      </c>
      <c r="B427" s="4" t="s">
        <v>40</v>
      </c>
      <c r="C427" s="4" t="s">
        <v>19</v>
      </c>
      <c r="D427" s="4">
        <v>78018</v>
      </c>
      <c r="E427" s="4" t="s">
        <v>20</v>
      </c>
      <c r="F427" s="4" t="s">
        <v>35</v>
      </c>
      <c r="G427" s="4" t="s">
        <v>22</v>
      </c>
      <c r="H427" s="4">
        <v>1</v>
      </c>
      <c r="I427" s="4" t="s">
        <v>23</v>
      </c>
      <c r="J427" s="4" t="s">
        <v>17</v>
      </c>
      <c r="K427" s="4">
        <v>32</v>
      </c>
      <c r="L427" s="4" t="str">
        <f t="shared" si="6"/>
        <v>Middle Age</v>
      </c>
      <c r="M427" s="4" t="s">
        <v>22</v>
      </c>
    </row>
    <row r="428" spans="1:13" x14ac:dyDescent="0.3">
      <c r="A428" s="4">
        <v>427</v>
      </c>
      <c r="B428" s="4" t="s">
        <v>40</v>
      </c>
      <c r="C428" s="4" t="s">
        <v>12</v>
      </c>
      <c r="D428" s="4">
        <v>98058</v>
      </c>
      <c r="E428" s="4" t="s">
        <v>31</v>
      </c>
      <c r="F428" s="4" t="s">
        <v>32</v>
      </c>
      <c r="G428" s="4" t="s">
        <v>22</v>
      </c>
      <c r="H428" s="4">
        <v>0</v>
      </c>
      <c r="I428" s="4" t="s">
        <v>37</v>
      </c>
      <c r="J428" s="4" t="s">
        <v>24</v>
      </c>
      <c r="K428" s="4">
        <v>21</v>
      </c>
      <c r="L428" s="4" t="str">
        <f t="shared" si="6"/>
        <v>Adolescent</v>
      </c>
      <c r="M428" s="4" t="s">
        <v>22</v>
      </c>
    </row>
    <row r="429" spans="1:13" x14ac:dyDescent="0.3">
      <c r="A429" s="4">
        <v>428</v>
      </c>
      <c r="B429" s="4" t="s">
        <v>40</v>
      </c>
      <c r="C429" s="4" t="s">
        <v>19</v>
      </c>
      <c r="D429" s="4">
        <v>76936</v>
      </c>
      <c r="E429" s="4" t="s">
        <v>20</v>
      </c>
      <c r="F429" s="4" t="s">
        <v>32</v>
      </c>
      <c r="G429" s="4" t="s">
        <v>15</v>
      </c>
      <c r="H429" s="4">
        <v>2</v>
      </c>
      <c r="I429" s="4" t="s">
        <v>27</v>
      </c>
      <c r="J429" s="4" t="s">
        <v>34</v>
      </c>
      <c r="K429" s="4">
        <v>19</v>
      </c>
      <c r="L429" s="4" t="str">
        <f t="shared" si="6"/>
        <v>Adolescent</v>
      </c>
      <c r="M429" s="4" t="s">
        <v>22</v>
      </c>
    </row>
    <row r="430" spans="1:13" x14ac:dyDescent="0.3">
      <c r="A430" s="4">
        <v>429</v>
      </c>
      <c r="B430" s="4" t="s">
        <v>40</v>
      </c>
      <c r="C430" s="4" t="s">
        <v>12</v>
      </c>
      <c r="D430" s="4">
        <v>95167</v>
      </c>
      <c r="E430" s="4" t="s">
        <v>26</v>
      </c>
      <c r="F430" s="4" t="s">
        <v>21</v>
      </c>
      <c r="G430" s="4" t="s">
        <v>15</v>
      </c>
      <c r="H430" s="4">
        <v>0</v>
      </c>
      <c r="I430" s="4" t="s">
        <v>33</v>
      </c>
      <c r="J430" s="4" t="s">
        <v>17</v>
      </c>
      <c r="K430" s="4">
        <v>31</v>
      </c>
      <c r="L430" s="4" t="str">
        <f t="shared" si="6"/>
        <v>Invalid</v>
      </c>
      <c r="M430" s="4" t="s">
        <v>22</v>
      </c>
    </row>
    <row r="431" spans="1:13" x14ac:dyDescent="0.3">
      <c r="A431" s="4">
        <v>430</v>
      </c>
      <c r="B431" s="4" t="s">
        <v>40</v>
      </c>
      <c r="C431" s="4" t="s">
        <v>12</v>
      </c>
      <c r="D431" s="4">
        <v>113387</v>
      </c>
      <c r="E431" s="4" t="s">
        <v>26</v>
      </c>
      <c r="F431" s="4" t="s">
        <v>32</v>
      </c>
      <c r="G431" s="4" t="s">
        <v>22</v>
      </c>
      <c r="H431" s="4">
        <v>3</v>
      </c>
      <c r="I431" s="4" t="s">
        <v>37</v>
      </c>
      <c r="J431" s="4" t="s">
        <v>17</v>
      </c>
      <c r="K431" s="4">
        <v>43</v>
      </c>
      <c r="L431" s="4" t="str">
        <f t="shared" si="6"/>
        <v>Middle Age</v>
      </c>
      <c r="M431" s="4" t="s">
        <v>15</v>
      </c>
    </row>
    <row r="432" spans="1:13" x14ac:dyDescent="0.3">
      <c r="A432" s="4">
        <v>431</v>
      </c>
      <c r="B432" s="4" t="s">
        <v>40</v>
      </c>
      <c r="C432" s="4" t="s">
        <v>19</v>
      </c>
      <c r="D432" s="4">
        <v>32451</v>
      </c>
      <c r="E432" s="4" t="s">
        <v>20</v>
      </c>
      <c r="F432" s="4" t="s">
        <v>35</v>
      </c>
      <c r="G432" s="4" t="s">
        <v>15</v>
      </c>
      <c r="H432" s="4">
        <v>1</v>
      </c>
      <c r="I432" s="4" t="s">
        <v>37</v>
      </c>
      <c r="J432" s="4" t="s">
        <v>17</v>
      </c>
      <c r="K432" s="4">
        <v>27</v>
      </c>
      <c r="L432" s="4" t="str">
        <f t="shared" si="6"/>
        <v>Adolescent</v>
      </c>
      <c r="M432" s="4" t="s">
        <v>15</v>
      </c>
    </row>
    <row r="433" spans="1:13" x14ac:dyDescent="0.3">
      <c r="A433" s="4">
        <v>432</v>
      </c>
      <c r="B433" s="4" t="s">
        <v>40</v>
      </c>
      <c r="C433" s="4" t="s">
        <v>19</v>
      </c>
      <c r="D433" s="4">
        <v>109491</v>
      </c>
      <c r="E433" s="4" t="s">
        <v>31</v>
      </c>
      <c r="F433" s="4" t="s">
        <v>32</v>
      </c>
      <c r="G433" s="4" t="s">
        <v>15</v>
      </c>
      <c r="H433" s="4">
        <v>0</v>
      </c>
      <c r="I433" s="4" t="s">
        <v>37</v>
      </c>
      <c r="J433" s="4" t="s">
        <v>24</v>
      </c>
      <c r="K433" s="4">
        <v>39</v>
      </c>
      <c r="L433" s="4" t="str">
        <f t="shared" si="6"/>
        <v>Middle Age</v>
      </c>
      <c r="M433" s="4" t="s">
        <v>15</v>
      </c>
    </row>
    <row r="434" spans="1:13" x14ac:dyDescent="0.3">
      <c r="A434" s="4">
        <v>433</v>
      </c>
      <c r="B434" s="4" t="s">
        <v>40</v>
      </c>
      <c r="C434" s="4" t="s">
        <v>12</v>
      </c>
      <c r="D434" s="4">
        <v>29685</v>
      </c>
      <c r="E434" s="4" t="s">
        <v>13</v>
      </c>
      <c r="F434" s="4" t="s">
        <v>21</v>
      </c>
      <c r="G434" s="4" t="s">
        <v>15</v>
      </c>
      <c r="H434" s="4">
        <v>2</v>
      </c>
      <c r="I434" s="4" t="s">
        <v>27</v>
      </c>
      <c r="J434" s="4" t="s">
        <v>24</v>
      </c>
      <c r="K434" s="4">
        <v>60</v>
      </c>
      <c r="L434" s="4" t="str">
        <f t="shared" si="6"/>
        <v>Old</v>
      </c>
      <c r="M434" s="4" t="s">
        <v>15</v>
      </c>
    </row>
    <row r="435" spans="1:13" x14ac:dyDescent="0.3">
      <c r="A435" s="4">
        <v>434</v>
      </c>
      <c r="B435" s="4" t="s">
        <v>40</v>
      </c>
      <c r="C435" s="4" t="s">
        <v>12</v>
      </c>
      <c r="D435" s="4">
        <v>20823</v>
      </c>
      <c r="E435" s="4" t="s">
        <v>20</v>
      </c>
      <c r="F435" s="4" t="s">
        <v>14</v>
      </c>
      <c r="G435" s="4" t="s">
        <v>15</v>
      </c>
      <c r="H435" s="4">
        <v>0</v>
      </c>
      <c r="I435" s="4" t="s">
        <v>23</v>
      </c>
      <c r="J435" s="4" t="s">
        <v>28</v>
      </c>
      <c r="K435" s="4">
        <v>57</v>
      </c>
      <c r="L435" s="4" t="str">
        <f t="shared" si="6"/>
        <v>Old</v>
      </c>
      <c r="M435" s="4" t="s">
        <v>15</v>
      </c>
    </row>
    <row r="436" spans="1:13" x14ac:dyDescent="0.3">
      <c r="A436" s="4">
        <v>435</v>
      </c>
      <c r="B436" s="4" t="s">
        <v>40</v>
      </c>
      <c r="C436" s="4" t="s">
        <v>12</v>
      </c>
      <c r="D436" s="4">
        <v>94402</v>
      </c>
      <c r="E436" s="4" t="s">
        <v>13</v>
      </c>
      <c r="F436" s="4" t="s">
        <v>32</v>
      </c>
      <c r="G436" s="4" t="s">
        <v>22</v>
      </c>
      <c r="H436" s="4">
        <v>0</v>
      </c>
      <c r="I436" s="4" t="s">
        <v>16</v>
      </c>
      <c r="J436" s="4" t="s">
        <v>34</v>
      </c>
      <c r="K436" s="4">
        <v>53</v>
      </c>
      <c r="L436" s="4" t="str">
        <f t="shared" si="6"/>
        <v>Middle Age</v>
      </c>
      <c r="M436" s="4" t="s">
        <v>15</v>
      </c>
    </row>
    <row r="437" spans="1:13" x14ac:dyDescent="0.3">
      <c r="A437" s="4">
        <v>436</v>
      </c>
      <c r="B437" s="4" t="s">
        <v>40</v>
      </c>
      <c r="C437" s="4" t="s">
        <v>12</v>
      </c>
      <c r="D437" s="4">
        <v>73113</v>
      </c>
      <c r="E437" s="4" t="s">
        <v>13</v>
      </c>
      <c r="F437" s="4" t="s">
        <v>14</v>
      </c>
      <c r="G437" s="4" t="s">
        <v>22</v>
      </c>
      <c r="H437" s="4">
        <v>2</v>
      </c>
      <c r="I437" s="4" t="s">
        <v>37</v>
      </c>
      <c r="J437" s="4" t="s">
        <v>24</v>
      </c>
      <c r="K437" s="4">
        <v>60</v>
      </c>
      <c r="L437" s="4" t="str">
        <f t="shared" si="6"/>
        <v>Old</v>
      </c>
      <c r="M437" s="4" t="s">
        <v>15</v>
      </c>
    </row>
    <row r="438" spans="1:13" x14ac:dyDescent="0.3">
      <c r="A438" s="4">
        <v>437</v>
      </c>
      <c r="B438" s="4" t="s">
        <v>40</v>
      </c>
      <c r="C438" s="4" t="s">
        <v>12</v>
      </c>
      <c r="D438" s="4">
        <v>52863</v>
      </c>
      <c r="E438" s="4" t="s">
        <v>13</v>
      </c>
      <c r="F438" s="4" t="s">
        <v>14</v>
      </c>
      <c r="G438" s="4" t="s">
        <v>22</v>
      </c>
      <c r="H438" s="4">
        <v>1</v>
      </c>
      <c r="I438" s="4" t="s">
        <v>23</v>
      </c>
      <c r="J438" s="4" t="s">
        <v>17</v>
      </c>
      <c r="K438" s="4">
        <v>46</v>
      </c>
      <c r="L438" s="4" t="str">
        <f t="shared" si="6"/>
        <v>Middle Age</v>
      </c>
      <c r="M438" s="4" t="s">
        <v>15</v>
      </c>
    </row>
    <row r="439" spans="1:13" x14ac:dyDescent="0.3">
      <c r="A439" s="4">
        <v>438</v>
      </c>
      <c r="B439" s="4" t="s">
        <v>40</v>
      </c>
      <c r="C439" s="4" t="s">
        <v>12</v>
      </c>
      <c r="D439" s="4">
        <v>76534</v>
      </c>
      <c r="E439" s="4" t="s">
        <v>13</v>
      </c>
      <c r="F439" s="4" t="s">
        <v>35</v>
      </c>
      <c r="G439" s="4" t="s">
        <v>15</v>
      </c>
      <c r="H439" s="4">
        <v>3</v>
      </c>
      <c r="I439" s="4" t="s">
        <v>37</v>
      </c>
      <c r="J439" s="4" t="s">
        <v>28</v>
      </c>
      <c r="K439" s="4">
        <v>34</v>
      </c>
      <c r="L439" s="4" t="str">
        <f t="shared" si="6"/>
        <v>Middle Age</v>
      </c>
      <c r="M439" s="4" t="s">
        <v>15</v>
      </c>
    </row>
    <row r="440" spans="1:13" x14ac:dyDescent="0.3">
      <c r="A440" s="4">
        <v>439</v>
      </c>
      <c r="B440" s="4" t="s">
        <v>41</v>
      </c>
      <c r="C440" s="4" t="s">
        <v>19</v>
      </c>
      <c r="D440" s="4">
        <v>76030</v>
      </c>
      <c r="E440" s="4" t="s">
        <v>26</v>
      </c>
      <c r="F440" s="4" t="s">
        <v>36</v>
      </c>
      <c r="G440" s="4" t="s">
        <v>15</v>
      </c>
      <c r="H440" s="4">
        <v>3</v>
      </c>
      <c r="I440" s="4" t="s">
        <v>37</v>
      </c>
      <c r="J440" s="4" t="s">
        <v>17</v>
      </c>
      <c r="K440" s="4">
        <v>26</v>
      </c>
      <c r="L440" s="4" t="str">
        <f t="shared" si="6"/>
        <v>Adolescent</v>
      </c>
      <c r="M440" s="4" t="s">
        <v>15</v>
      </c>
    </row>
    <row r="441" spans="1:13" x14ac:dyDescent="0.3">
      <c r="A441" s="4">
        <v>440</v>
      </c>
      <c r="B441" s="4" t="s">
        <v>40</v>
      </c>
      <c r="C441" s="4" t="s">
        <v>19</v>
      </c>
      <c r="D441" s="4">
        <v>54440</v>
      </c>
      <c r="E441" s="4" t="s">
        <v>31</v>
      </c>
      <c r="F441" s="4" t="s">
        <v>21</v>
      </c>
      <c r="G441" s="4" t="s">
        <v>22</v>
      </c>
      <c r="H441" s="4">
        <v>0</v>
      </c>
      <c r="I441" s="4" t="s">
        <v>37</v>
      </c>
      <c r="J441" s="4" t="s">
        <v>28</v>
      </c>
      <c r="K441" s="4">
        <v>44</v>
      </c>
      <c r="L441" s="4" t="str">
        <f t="shared" si="6"/>
        <v>Middle Age</v>
      </c>
      <c r="M441" s="4" t="s">
        <v>15</v>
      </c>
    </row>
    <row r="442" spans="1:13" x14ac:dyDescent="0.3">
      <c r="A442" s="4">
        <v>441</v>
      </c>
      <c r="B442" s="4" t="s">
        <v>41</v>
      </c>
      <c r="C442" s="4" t="s">
        <v>19</v>
      </c>
      <c r="D442" s="4">
        <v>74275</v>
      </c>
      <c r="E442" s="4" t="s">
        <v>26</v>
      </c>
      <c r="F442" s="4" t="s">
        <v>32</v>
      </c>
      <c r="G442" s="4" t="s">
        <v>15</v>
      </c>
      <c r="H442" s="4">
        <v>2</v>
      </c>
      <c r="I442" s="4" t="s">
        <v>37</v>
      </c>
      <c r="J442" s="4" t="s">
        <v>28</v>
      </c>
      <c r="K442" s="4">
        <v>32</v>
      </c>
      <c r="L442" s="4" t="str">
        <f t="shared" si="6"/>
        <v>Middle Age</v>
      </c>
      <c r="M442" s="4" t="s">
        <v>15</v>
      </c>
    </row>
    <row r="443" spans="1:13" x14ac:dyDescent="0.3">
      <c r="A443" s="4">
        <v>442</v>
      </c>
      <c r="B443" s="4" t="s">
        <v>40</v>
      </c>
      <c r="C443" s="4" t="s">
        <v>19</v>
      </c>
      <c r="D443" s="4">
        <v>26904</v>
      </c>
      <c r="E443" s="4" t="s">
        <v>20</v>
      </c>
      <c r="F443" s="4" t="s">
        <v>35</v>
      </c>
      <c r="G443" s="4" t="s">
        <v>15</v>
      </c>
      <c r="H443" s="4">
        <v>0</v>
      </c>
      <c r="I443" s="4" t="s">
        <v>16</v>
      </c>
      <c r="J443" s="4" t="s">
        <v>34</v>
      </c>
      <c r="K443" s="4">
        <v>33</v>
      </c>
      <c r="L443" s="4" t="str">
        <f t="shared" si="6"/>
        <v>Middle Age</v>
      </c>
      <c r="M443" s="4" t="s">
        <v>15</v>
      </c>
    </row>
    <row r="444" spans="1:13" x14ac:dyDescent="0.3">
      <c r="A444" s="4">
        <v>443</v>
      </c>
      <c r="B444" s="4" t="s">
        <v>40</v>
      </c>
      <c r="C444" s="4" t="s">
        <v>19</v>
      </c>
      <c r="D444" s="4">
        <v>54405</v>
      </c>
      <c r="E444" s="4" t="s">
        <v>26</v>
      </c>
      <c r="F444" s="4" t="s">
        <v>14</v>
      </c>
      <c r="G444" s="4" t="s">
        <v>22</v>
      </c>
      <c r="H444" s="4">
        <v>2</v>
      </c>
      <c r="I444" s="4" t="s">
        <v>33</v>
      </c>
      <c r="J444" s="4" t="s">
        <v>28</v>
      </c>
      <c r="K444" s="4">
        <v>26</v>
      </c>
      <c r="L444" s="4" t="str">
        <f t="shared" si="6"/>
        <v>Adolescent</v>
      </c>
      <c r="M444" s="4" t="s">
        <v>22</v>
      </c>
    </row>
    <row r="445" spans="1:13" x14ac:dyDescent="0.3">
      <c r="A445" s="4">
        <v>444</v>
      </c>
      <c r="B445" s="4" t="s">
        <v>41</v>
      </c>
      <c r="C445" s="4" t="s">
        <v>12</v>
      </c>
      <c r="D445" s="4">
        <v>68113</v>
      </c>
      <c r="E445" s="4" t="s">
        <v>20</v>
      </c>
      <c r="F445" s="4" t="s">
        <v>21</v>
      </c>
      <c r="G445" s="4" t="s">
        <v>22</v>
      </c>
      <c r="H445" s="4">
        <v>3</v>
      </c>
      <c r="I445" s="4" t="s">
        <v>33</v>
      </c>
      <c r="J445" s="4" t="s">
        <v>24</v>
      </c>
      <c r="K445" s="4">
        <v>58</v>
      </c>
      <c r="L445" s="4" t="str">
        <f t="shared" si="6"/>
        <v>Old</v>
      </c>
      <c r="M445" s="4" t="s">
        <v>15</v>
      </c>
    </row>
    <row r="446" spans="1:13" x14ac:dyDescent="0.3">
      <c r="A446" s="4">
        <v>445</v>
      </c>
      <c r="B446" s="4" t="s">
        <v>41</v>
      </c>
      <c r="C446" s="4" t="s">
        <v>19</v>
      </c>
      <c r="D446" s="4">
        <v>86923</v>
      </c>
      <c r="E446" s="4" t="s">
        <v>13</v>
      </c>
      <c r="F446" s="4" t="s">
        <v>21</v>
      </c>
      <c r="G446" s="4" t="s">
        <v>22</v>
      </c>
      <c r="H446" s="4">
        <v>0</v>
      </c>
      <c r="I446" s="4" t="s">
        <v>16</v>
      </c>
      <c r="J446" s="4" t="s">
        <v>17</v>
      </c>
      <c r="K446" s="4">
        <v>41</v>
      </c>
      <c r="L446" s="4" t="str">
        <f t="shared" si="6"/>
        <v>Middle Age</v>
      </c>
      <c r="M446" s="4" t="s">
        <v>22</v>
      </c>
    </row>
    <row r="447" spans="1:13" x14ac:dyDescent="0.3">
      <c r="A447" s="4">
        <v>446</v>
      </c>
      <c r="B447" s="4" t="s">
        <v>40</v>
      </c>
      <c r="C447" s="4" t="s">
        <v>19</v>
      </c>
      <c r="D447" s="4">
        <v>37614</v>
      </c>
      <c r="E447" s="4" t="s">
        <v>26</v>
      </c>
      <c r="F447" s="4" t="s">
        <v>14</v>
      </c>
      <c r="G447" s="4" t="s">
        <v>22</v>
      </c>
      <c r="H447" s="4">
        <v>3</v>
      </c>
      <c r="I447" s="4" t="s">
        <v>27</v>
      </c>
      <c r="J447" s="4" t="s">
        <v>28</v>
      </c>
      <c r="K447" s="4">
        <v>31</v>
      </c>
      <c r="L447" s="4" t="str">
        <f t="shared" si="6"/>
        <v>Invalid</v>
      </c>
      <c r="M447" s="4" t="s">
        <v>15</v>
      </c>
    </row>
    <row r="448" spans="1:13" x14ac:dyDescent="0.3">
      <c r="A448" s="4">
        <v>447</v>
      </c>
      <c r="B448" s="4" t="s">
        <v>41</v>
      </c>
      <c r="C448" s="4" t="s">
        <v>12</v>
      </c>
      <c r="D448" s="4">
        <v>40452</v>
      </c>
      <c r="E448" s="4" t="s">
        <v>31</v>
      </c>
      <c r="F448" s="4" t="s">
        <v>32</v>
      </c>
      <c r="G448" s="4" t="s">
        <v>22</v>
      </c>
      <c r="H448" s="4">
        <v>0</v>
      </c>
      <c r="I448" s="4" t="s">
        <v>33</v>
      </c>
      <c r="J448" s="4" t="s">
        <v>28</v>
      </c>
      <c r="K448" s="4">
        <v>25</v>
      </c>
      <c r="L448" s="4" t="str">
        <f t="shared" si="6"/>
        <v>Adolescent</v>
      </c>
      <c r="M448" s="4" t="s">
        <v>15</v>
      </c>
    </row>
    <row r="449" spans="1:13" x14ac:dyDescent="0.3">
      <c r="A449" s="4">
        <v>448</v>
      </c>
      <c r="B449" s="4" t="s">
        <v>40</v>
      </c>
      <c r="C449" s="4" t="s">
        <v>12</v>
      </c>
      <c r="D449" s="4">
        <v>22443</v>
      </c>
      <c r="E449" s="4" t="s">
        <v>20</v>
      </c>
      <c r="F449" s="4" t="s">
        <v>32</v>
      </c>
      <c r="G449" s="4" t="s">
        <v>22</v>
      </c>
      <c r="H449" s="4">
        <v>1</v>
      </c>
      <c r="I449" s="4" t="s">
        <v>27</v>
      </c>
      <c r="J449" s="4" t="s">
        <v>28</v>
      </c>
      <c r="K449" s="4">
        <v>28</v>
      </c>
      <c r="L449" s="4" t="str">
        <f t="shared" si="6"/>
        <v>Adolescent</v>
      </c>
      <c r="M449" s="4" t="s">
        <v>15</v>
      </c>
    </row>
    <row r="450" spans="1:13" x14ac:dyDescent="0.3">
      <c r="A450" s="4">
        <v>449</v>
      </c>
      <c r="B450" s="4" t="s">
        <v>41</v>
      </c>
      <c r="C450" s="4" t="s">
        <v>19</v>
      </c>
      <c r="D450" s="4">
        <v>43700</v>
      </c>
      <c r="E450" s="4" t="s">
        <v>20</v>
      </c>
      <c r="F450" s="4" t="s">
        <v>36</v>
      </c>
      <c r="G450" s="4" t="s">
        <v>22</v>
      </c>
      <c r="H450" s="4">
        <v>1</v>
      </c>
      <c r="I450" s="4" t="s">
        <v>27</v>
      </c>
      <c r="J450" s="4" t="s">
        <v>24</v>
      </c>
      <c r="K450" s="4">
        <v>32</v>
      </c>
      <c r="L450" s="4" t="str">
        <f t="shared" ref="L450:L501" si="7">IF(K450&gt;54,"Old",IF(K450&gt;31,"Middle Age",IF(K450&lt;31,"Adolescent","Invalid")))</f>
        <v>Middle Age</v>
      </c>
      <c r="M450" s="4" t="s">
        <v>15</v>
      </c>
    </row>
    <row r="451" spans="1:13" x14ac:dyDescent="0.3">
      <c r="A451" s="4">
        <v>450</v>
      </c>
      <c r="B451" s="4" t="s">
        <v>41</v>
      </c>
      <c r="C451" s="4" t="s">
        <v>19</v>
      </c>
      <c r="D451" s="4">
        <v>42081</v>
      </c>
      <c r="E451" s="4" t="s">
        <v>20</v>
      </c>
      <c r="F451" s="4" t="s">
        <v>35</v>
      </c>
      <c r="G451" s="4" t="s">
        <v>22</v>
      </c>
      <c r="H451" s="4">
        <v>3</v>
      </c>
      <c r="I451" s="4" t="s">
        <v>33</v>
      </c>
      <c r="J451" s="4" t="s">
        <v>34</v>
      </c>
      <c r="K451" s="4">
        <v>42</v>
      </c>
      <c r="L451" s="4" t="str">
        <f t="shared" si="7"/>
        <v>Middle Age</v>
      </c>
      <c r="M451" s="4" t="s">
        <v>15</v>
      </c>
    </row>
    <row r="452" spans="1:13" x14ac:dyDescent="0.3">
      <c r="A452" s="4">
        <v>451</v>
      </c>
      <c r="B452" s="4" t="s">
        <v>41</v>
      </c>
      <c r="C452" s="4" t="s">
        <v>19</v>
      </c>
      <c r="D452" s="4">
        <v>90726</v>
      </c>
      <c r="E452" s="4" t="s">
        <v>13</v>
      </c>
      <c r="F452" s="4" t="s">
        <v>32</v>
      </c>
      <c r="G452" s="4" t="s">
        <v>22</v>
      </c>
      <c r="H452" s="4">
        <v>1</v>
      </c>
      <c r="I452" s="4" t="s">
        <v>23</v>
      </c>
      <c r="J452" s="4" t="s">
        <v>34</v>
      </c>
      <c r="K452" s="4">
        <v>32</v>
      </c>
      <c r="L452" s="4" t="str">
        <f t="shared" si="7"/>
        <v>Middle Age</v>
      </c>
      <c r="M452" s="4" t="s">
        <v>15</v>
      </c>
    </row>
    <row r="453" spans="1:13" x14ac:dyDescent="0.3">
      <c r="A453" s="4">
        <v>452</v>
      </c>
      <c r="B453" s="4" t="s">
        <v>41</v>
      </c>
      <c r="C453" s="4" t="s">
        <v>12</v>
      </c>
      <c r="D453" s="4">
        <v>108223</v>
      </c>
      <c r="E453" s="4" t="s">
        <v>26</v>
      </c>
      <c r="F453" s="4" t="s">
        <v>36</v>
      </c>
      <c r="G453" s="4" t="s">
        <v>15</v>
      </c>
      <c r="H453" s="4">
        <v>1</v>
      </c>
      <c r="I453" s="4" t="s">
        <v>27</v>
      </c>
      <c r="J453" s="4" t="s">
        <v>17</v>
      </c>
      <c r="K453" s="4">
        <v>46</v>
      </c>
      <c r="L453" s="4" t="str">
        <f t="shared" si="7"/>
        <v>Middle Age</v>
      </c>
      <c r="M453" s="4" t="s">
        <v>15</v>
      </c>
    </row>
    <row r="454" spans="1:13" x14ac:dyDescent="0.3">
      <c r="A454" s="4">
        <v>453</v>
      </c>
      <c r="B454" s="4" t="s">
        <v>41</v>
      </c>
      <c r="C454" s="4" t="s">
        <v>19</v>
      </c>
      <c r="D454" s="4">
        <v>117722</v>
      </c>
      <c r="E454" s="4" t="s">
        <v>31</v>
      </c>
      <c r="F454" s="4" t="s">
        <v>14</v>
      </c>
      <c r="G454" s="4" t="s">
        <v>15</v>
      </c>
      <c r="H454" s="4">
        <v>2</v>
      </c>
      <c r="I454" s="4" t="s">
        <v>37</v>
      </c>
      <c r="J454" s="4" t="s">
        <v>28</v>
      </c>
      <c r="K454" s="4">
        <v>42</v>
      </c>
      <c r="L454" s="4" t="str">
        <f t="shared" si="7"/>
        <v>Middle Age</v>
      </c>
      <c r="M454" s="4" t="s">
        <v>22</v>
      </c>
    </row>
    <row r="455" spans="1:13" x14ac:dyDescent="0.3">
      <c r="A455" s="4">
        <v>454</v>
      </c>
      <c r="B455" s="4" t="s">
        <v>41</v>
      </c>
      <c r="C455" s="4" t="s">
        <v>19</v>
      </c>
      <c r="D455" s="4">
        <v>35093</v>
      </c>
      <c r="E455" s="4" t="s">
        <v>13</v>
      </c>
      <c r="F455" s="4" t="s">
        <v>14</v>
      </c>
      <c r="G455" s="4" t="s">
        <v>15</v>
      </c>
      <c r="H455" s="4">
        <v>3</v>
      </c>
      <c r="I455" s="4" t="s">
        <v>16</v>
      </c>
      <c r="J455" s="4" t="s">
        <v>28</v>
      </c>
      <c r="K455" s="4">
        <v>46</v>
      </c>
      <c r="L455" s="4" t="str">
        <f t="shared" si="7"/>
        <v>Middle Age</v>
      </c>
      <c r="M455" s="4" t="s">
        <v>15</v>
      </c>
    </row>
    <row r="456" spans="1:13" x14ac:dyDescent="0.3">
      <c r="A456" s="4">
        <v>455</v>
      </c>
      <c r="B456" s="4" t="s">
        <v>41</v>
      </c>
      <c r="C456" s="4" t="s">
        <v>19</v>
      </c>
      <c r="D456" s="4">
        <v>93931</v>
      </c>
      <c r="E456" s="4" t="s">
        <v>13</v>
      </c>
      <c r="F456" s="4" t="s">
        <v>21</v>
      </c>
      <c r="G456" s="4" t="s">
        <v>15</v>
      </c>
      <c r="H456" s="4">
        <v>2</v>
      </c>
      <c r="I456" s="4" t="s">
        <v>33</v>
      </c>
      <c r="J456" s="4" t="s">
        <v>34</v>
      </c>
      <c r="K456" s="4">
        <v>56</v>
      </c>
      <c r="L456" s="4" t="str">
        <f t="shared" si="7"/>
        <v>Old</v>
      </c>
      <c r="M456" s="4" t="s">
        <v>15</v>
      </c>
    </row>
    <row r="457" spans="1:13" x14ac:dyDescent="0.3">
      <c r="A457" s="4">
        <v>456</v>
      </c>
      <c r="B457" s="4" t="s">
        <v>41</v>
      </c>
      <c r="C457" s="4" t="s">
        <v>12</v>
      </c>
      <c r="D457" s="4">
        <v>48066</v>
      </c>
      <c r="E457" s="4" t="s">
        <v>13</v>
      </c>
      <c r="F457" s="4" t="s">
        <v>35</v>
      </c>
      <c r="G457" s="4" t="s">
        <v>15</v>
      </c>
      <c r="H457" s="4">
        <v>3</v>
      </c>
      <c r="I457" s="4" t="s">
        <v>27</v>
      </c>
      <c r="J457" s="4" t="s">
        <v>28</v>
      </c>
      <c r="K457" s="4">
        <v>44</v>
      </c>
      <c r="L457" s="4" t="str">
        <f t="shared" si="7"/>
        <v>Middle Age</v>
      </c>
      <c r="M457" s="4" t="s">
        <v>15</v>
      </c>
    </row>
    <row r="458" spans="1:13" x14ac:dyDescent="0.3">
      <c r="A458" s="4">
        <v>457</v>
      </c>
      <c r="B458" s="4" t="s">
        <v>41</v>
      </c>
      <c r="C458" s="4" t="s">
        <v>12</v>
      </c>
      <c r="D458" s="4">
        <v>46677</v>
      </c>
      <c r="E458" s="4" t="s">
        <v>31</v>
      </c>
      <c r="F458" s="4" t="s">
        <v>36</v>
      </c>
      <c r="G458" s="4" t="s">
        <v>15</v>
      </c>
      <c r="H458" s="4">
        <v>0</v>
      </c>
      <c r="I458" s="4" t="s">
        <v>23</v>
      </c>
      <c r="J458" s="4" t="s">
        <v>28</v>
      </c>
      <c r="K458" s="4">
        <v>29</v>
      </c>
      <c r="L458" s="4" t="str">
        <f t="shared" si="7"/>
        <v>Adolescent</v>
      </c>
      <c r="M458" s="4" t="s">
        <v>15</v>
      </c>
    </row>
    <row r="459" spans="1:13" x14ac:dyDescent="0.3">
      <c r="A459" s="4">
        <v>458</v>
      </c>
      <c r="B459" s="4" t="s">
        <v>41</v>
      </c>
      <c r="C459" s="4" t="s">
        <v>12</v>
      </c>
      <c r="D459" s="4">
        <v>89020</v>
      </c>
      <c r="E459" s="4" t="s">
        <v>13</v>
      </c>
      <c r="F459" s="4" t="s">
        <v>32</v>
      </c>
      <c r="G459" s="4" t="s">
        <v>15</v>
      </c>
      <c r="H459" s="4">
        <v>2</v>
      </c>
      <c r="I459" s="4" t="s">
        <v>23</v>
      </c>
      <c r="J459" s="4" t="s">
        <v>28</v>
      </c>
      <c r="K459" s="4">
        <v>28</v>
      </c>
      <c r="L459" s="4" t="str">
        <f t="shared" si="7"/>
        <v>Adolescent</v>
      </c>
      <c r="M459" s="4" t="s">
        <v>22</v>
      </c>
    </row>
    <row r="460" spans="1:13" x14ac:dyDescent="0.3">
      <c r="A460" s="4">
        <v>459</v>
      </c>
      <c r="B460" s="4" t="s">
        <v>41</v>
      </c>
      <c r="C460" s="4" t="s">
        <v>12</v>
      </c>
      <c r="D460" s="4">
        <v>21423</v>
      </c>
      <c r="E460" s="4" t="s">
        <v>31</v>
      </c>
      <c r="F460" s="4" t="s">
        <v>21</v>
      </c>
      <c r="G460" s="4" t="s">
        <v>15</v>
      </c>
      <c r="H460" s="4">
        <v>0</v>
      </c>
      <c r="I460" s="4" t="s">
        <v>33</v>
      </c>
      <c r="J460" s="4" t="s">
        <v>28</v>
      </c>
      <c r="K460" s="4">
        <v>28</v>
      </c>
      <c r="L460" s="4" t="str">
        <f t="shared" si="7"/>
        <v>Adolescent</v>
      </c>
      <c r="M460" s="4" t="s">
        <v>15</v>
      </c>
    </row>
    <row r="461" spans="1:13" x14ac:dyDescent="0.3">
      <c r="A461" s="4">
        <v>460</v>
      </c>
      <c r="B461" s="4" t="s">
        <v>41</v>
      </c>
      <c r="C461" s="4" t="s">
        <v>19</v>
      </c>
      <c r="D461" s="4">
        <v>51662</v>
      </c>
      <c r="E461" s="4" t="s">
        <v>20</v>
      </c>
      <c r="F461" s="4" t="s">
        <v>35</v>
      </c>
      <c r="G461" s="4" t="s">
        <v>15</v>
      </c>
      <c r="H461" s="4">
        <v>0</v>
      </c>
      <c r="I461" s="4" t="s">
        <v>37</v>
      </c>
      <c r="J461" s="4" t="s">
        <v>17</v>
      </c>
      <c r="K461" s="4">
        <v>38</v>
      </c>
      <c r="L461" s="4" t="str">
        <f t="shared" si="7"/>
        <v>Middle Age</v>
      </c>
      <c r="M461" s="4" t="s">
        <v>22</v>
      </c>
    </row>
    <row r="462" spans="1:13" x14ac:dyDescent="0.3">
      <c r="A462" s="4">
        <v>461</v>
      </c>
      <c r="B462" s="4" t="s">
        <v>41</v>
      </c>
      <c r="C462" s="4" t="s">
        <v>12</v>
      </c>
      <c r="D462" s="4">
        <v>105137</v>
      </c>
      <c r="E462" s="4" t="s">
        <v>20</v>
      </c>
      <c r="F462" s="4" t="s">
        <v>32</v>
      </c>
      <c r="G462" s="4" t="s">
        <v>15</v>
      </c>
      <c r="H462" s="4">
        <v>2</v>
      </c>
      <c r="I462" s="4" t="s">
        <v>33</v>
      </c>
      <c r="J462" s="4" t="s">
        <v>34</v>
      </c>
      <c r="K462" s="4">
        <v>54</v>
      </c>
      <c r="L462" s="4" t="str">
        <f t="shared" si="7"/>
        <v>Middle Age</v>
      </c>
      <c r="M462" s="4" t="s">
        <v>15</v>
      </c>
    </row>
    <row r="463" spans="1:13" x14ac:dyDescent="0.3">
      <c r="A463" s="4">
        <v>462</v>
      </c>
      <c r="B463" s="4" t="s">
        <v>41</v>
      </c>
      <c r="C463" s="4" t="s">
        <v>19</v>
      </c>
      <c r="D463" s="4">
        <v>56981</v>
      </c>
      <c r="E463" s="4" t="s">
        <v>26</v>
      </c>
      <c r="F463" s="4" t="s">
        <v>14</v>
      </c>
      <c r="G463" s="4" t="s">
        <v>15</v>
      </c>
      <c r="H463" s="4">
        <v>3</v>
      </c>
      <c r="I463" s="4" t="s">
        <v>37</v>
      </c>
      <c r="J463" s="4" t="s">
        <v>17</v>
      </c>
      <c r="K463" s="4">
        <v>45</v>
      </c>
      <c r="L463" s="4" t="str">
        <f t="shared" si="7"/>
        <v>Middle Age</v>
      </c>
      <c r="M463" s="4" t="s">
        <v>15</v>
      </c>
    </row>
    <row r="464" spans="1:13" x14ac:dyDescent="0.3">
      <c r="A464" s="4">
        <v>463</v>
      </c>
      <c r="B464" s="4" t="s">
        <v>41</v>
      </c>
      <c r="C464" s="4" t="s">
        <v>19</v>
      </c>
      <c r="D464" s="4">
        <v>92822</v>
      </c>
      <c r="E464" s="4" t="s">
        <v>31</v>
      </c>
      <c r="F464" s="4" t="s">
        <v>14</v>
      </c>
      <c r="G464" s="4" t="s">
        <v>15</v>
      </c>
      <c r="H464" s="4">
        <v>2</v>
      </c>
      <c r="I464" s="4" t="s">
        <v>37</v>
      </c>
      <c r="J464" s="4" t="s">
        <v>34</v>
      </c>
      <c r="K464" s="4">
        <v>18</v>
      </c>
      <c r="L464" s="4" t="str">
        <f t="shared" si="7"/>
        <v>Adolescent</v>
      </c>
      <c r="M464" s="4" t="s">
        <v>22</v>
      </c>
    </row>
    <row r="465" spans="1:13" x14ac:dyDescent="0.3">
      <c r="A465" s="4">
        <v>464</v>
      </c>
      <c r="B465" s="4" t="s">
        <v>41</v>
      </c>
      <c r="C465" s="4" t="s">
        <v>19</v>
      </c>
      <c r="D465" s="4">
        <v>25981</v>
      </c>
      <c r="E465" s="4" t="s">
        <v>31</v>
      </c>
      <c r="F465" s="4" t="s">
        <v>21</v>
      </c>
      <c r="G465" s="4" t="s">
        <v>22</v>
      </c>
      <c r="H465" s="4">
        <v>0</v>
      </c>
      <c r="I465" s="4" t="s">
        <v>37</v>
      </c>
      <c r="J465" s="4" t="s">
        <v>34</v>
      </c>
      <c r="K465" s="4">
        <v>54</v>
      </c>
      <c r="L465" s="4" t="str">
        <f t="shared" si="7"/>
        <v>Middle Age</v>
      </c>
      <c r="M465" s="4" t="s">
        <v>15</v>
      </c>
    </row>
    <row r="466" spans="1:13" x14ac:dyDescent="0.3">
      <c r="A466" s="4">
        <v>465</v>
      </c>
      <c r="B466" s="4" t="s">
        <v>41</v>
      </c>
      <c r="C466" s="4" t="s">
        <v>19</v>
      </c>
      <c r="D466" s="4">
        <v>92812</v>
      </c>
      <c r="E466" s="4" t="s">
        <v>13</v>
      </c>
      <c r="F466" s="4" t="s">
        <v>36</v>
      </c>
      <c r="G466" s="4" t="s">
        <v>15</v>
      </c>
      <c r="H466" s="4">
        <v>3</v>
      </c>
      <c r="I466" s="4" t="s">
        <v>16</v>
      </c>
      <c r="J466" s="4" t="s">
        <v>34</v>
      </c>
      <c r="K466" s="4">
        <v>53</v>
      </c>
      <c r="L466" s="4" t="str">
        <f t="shared" si="7"/>
        <v>Middle Age</v>
      </c>
      <c r="M466" s="4" t="s">
        <v>15</v>
      </c>
    </row>
    <row r="467" spans="1:13" x14ac:dyDescent="0.3">
      <c r="A467" s="4">
        <v>466</v>
      </c>
      <c r="B467" s="4" t="s">
        <v>41</v>
      </c>
      <c r="C467" s="4" t="s">
        <v>19</v>
      </c>
      <c r="D467" s="4">
        <v>106123</v>
      </c>
      <c r="E467" s="4" t="s">
        <v>31</v>
      </c>
      <c r="F467" s="4" t="s">
        <v>21</v>
      </c>
      <c r="G467" s="4" t="s">
        <v>22</v>
      </c>
      <c r="H467" s="4">
        <v>3</v>
      </c>
      <c r="I467" s="4" t="s">
        <v>16</v>
      </c>
      <c r="J467" s="4" t="s">
        <v>17</v>
      </c>
      <c r="K467" s="4">
        <v>27</v>
      </c>
      <c r="L467" s="4" t="str">
        <f t="shared" si="7"/>
        <v>Adolescent</v>
      </c>
      <c r="M467" s="4" t="s">
        <v>15</v>
      </c>
    </row>
    <row r="468" spans="1:13" x14ac:dyDescent="0.3">
      <c r="A468" s="4">
        <v>467</v>
      </c>
      <c r="B468" s="4" t="s">
        <v>41</v>
      </c>
      <c r="C468" s="4" t="s">
        <v>19</v>
      </c>
      <c r="D468" s="4">
        <v>58515</v>
      </c>
      <c r="E468" s="4" t="s">
        <v>20</v>
      </c>
      <c r="F468" s="4" t="s">
        <v>36</v>
      </c>
      <c r="G468" s="4" t="s">
        <v>15</v>
      </c>
      <c r="H468" s="4">
        <v>0</v>
      </c>
      <c r="I468" s="4" t="s">
        <v>37</v>
      </c>
      <c r="J468" s="4" t="s">
        <v>17</v>
      </c>
      <c r="K468" s="4">
        <v>51</v>
      </c>
      <c r="L468" s="4" t="str">
        <f t="shared" si="7"/>
        <v>Middle Age</v>
      </c>
      <c r="M468" s="4" t="s">
        <v>15</v>
      </c>
    </row>
    <row r="469" spans="1:13" x14ac:dyDescent="0.3">
      <c r="A469" s="4">
        <v>468</v>
      </c>
      <c r="B469" s="4" t="s">
        <v>40</v>
      </c>
      <c r="C469" s="4" t="s">
        <v>19</v>
      </c>
      <c r="D469" s="4">
        <v>107515</v>
      </c>
      <c r="E469" s="4" t="s">
        <v>26</v>
      </c>
      <c r="F469" s="4" t="s">
        <v>14</v>
      </c>
      <c r="G469" s="4" t="s">
        <v>22</v>
      </c>
      <c r="H469" s="4">
        <v>1</v>
      </c>
      <c r="I469" s="4" t="s">
        <v>16</v>
      </c>
      <c r="J469" s="4" t="s">
        <v>34</v>
      </c>
      <c r="K469" s="4">
        <v>52</v>
      </c>
      <c r="L469" s="4" t="str">
        <f t="shared" si="7"/>
        <v>Middle Age</v>
      </c>
      <c r="M469" s="4" t="s">
        <v>15</v>
      </c>
    </row>
    <row r="470" spans="1:13" x14ac:dyDescent="0.3">
      <c r="A470" s="4">
        <v>469</v>
      </c>
      <c r="B470" s="4" t="s">
        <v>41</v>
      </c>
      <c r="C470" s="4" t="s">
        <v>19</v>
      </c>
      <c r="D470" s="4">
        <v>23747</v>
      </c>
      <c r="E470" s="4" t="s">
        <v>26</v>
      </c>
      <c r="F470" s="4" t="s">
        <v>32</v>
      </c>
      <c r="G470" s="4" t="s">
        <v>15</v>
      </c>
      <c r="H470" s="4">
        <v>2</v>
      </c>
      <c r="I470" s="4" t="s">
        <v>37</v>
      </c>
      <c r="J470" s="4" t="s">
        <v>24</v>
      </c>
      <c r="K470" s="4">
        <v>38</v>
      </c>
      <c r="L470" s="4" t="str">
        <f t="shared" si="7"/>
        <v>Middle Age</v>
      </c>
      <c r="M470" s="4" t="s">
        <v>15</v>
      </c>
    </row>
    <row r="471" spans="1:13" x14ac:dyDescent="0.3">
      <c r="A471" s="4">
        <v>470</v>
      </c>
      <c r="B471" s="4" t="s">
        <v>41</v>
      </c>
      <c r="C471" s="4" t="s">
        <v>19</v>
      </c>
      <c r="D471" s="4">
        <v>32459</v>
      </c>
      <c r="E471" s="4" t="s">
        <v>31</v>
      </c>
      <c r="F471" s="4" t="s">
        <v>21</v>
      </c>
      <c r="G471" s="4" t="s">
        <v>22</v>
      </c>
      <c r="H471" s="4">
        <v>1</v>
      </c>
      <c r="I471" s="4" t="s">
        <v>16</v>
      </c>
      <c r="J471" s="4" t="s">
        <v>34</v>
      </c>
      <c r="K471" s="4">
        <v>57</v>
      </c>
      <c r="L471" s="4" t="str">
        <f t="shared" si="7"/>
        <v>Old</v>
      </c>
      <c r="M471" s="4" t="s">
        <v>15</v>
      </c>
    </row>
    <row r="472" spans="1:13" x14ac:dyDescent="0.3">
      <c r="A472" s="4">
        <v>471</v>
      </c>
      <c r="B472" s="4" t="s">
        <v>41</v>
      </c>
      <c r="C472" s="4" t="s">
        <v>12</v>
      </c>
      <c r="D472" s="4">
        <v>66406</v>
      </c>
      <c r="E472" s="4" t="s">
        <v>31</v>
      </c>
      <c r="F472" s="4" t="s">
        <v>32</v>
      </c>
      <c r="G472" s="4" t="s">
        <v>15</v>
      </c>
      <c r="H472" s="4">
        <v>3</v>
      </c>
      <c r="I472" s="4" t="s">
        <v>16</v>
      </c>
      <c r="J472" s="4" t="s">
        <v>34</v>
      </c>
      <c r="K472" s="4">
        <v>36</v>
      </c>
      <c r="L472" s="4" t="str">
        <f t="shared" si="7"/>
        <v>Middle Age</v>
      </c>
      <c r="M472" s="4" t="s">
        <v>15</v>
      </c>
    </row>
    <row r="473" spans="1:13" x14ac:dyDescent="0.3">
      <c r="A473" s="4">
        <v>472</v>
      </c>
      <c r="B473" s="4" t="s">
        <v>41</v>
      </c>
      <c r="C473" s="4" t="s">
        <v>12</v>
      </c>
      <c r="D473" s="4">
        <v>112303</v>
      </c>
      <c r="E473" s="4" t="s">
        <v>13</v>
      </c>
      <c r="F473" s="4" t="s">
        <v>36</v>
      </c>
      <c r="G473" s="4" t="s">
        <v>15</v>
      </c>
      <c r="H473" s="4">
        <v>3</v>
      </c>
      <c r="I473" s="4" t="s">
        <v>33</v>
      </c>
      <c r="J473" s="4" t="s">
        <v>34</v>
      </c>
      <c r="K473" s="4">
        <v>33</v>
      </c>
      <c r="L473" s="4" t="str">
        <f t="shared" si="7"/>
        <v>Middle Age</v>
      </c>
      <c r="M473" s="4" t="s">
        <v>15</v>
      </c>
    </row>
    <row r="474" spans="1:13" x14ac:dyDescent="0.3">
      <c r="A474" s="4">
        <v>473</v>
      </c>
      <c r="B474" s="4" t="s">
        <v>41</v>
      </c>
      <c r="C474" s="4" t="s">
        <v>19</v>
      </c>
      <c r="D474" s="4">
        <v>37640</v>
      </c>
      <c r="E474" s="4" t="s">
        <v>20</v>
      </c>
      <c r="F474" s="4" t="s">
        <v>36</v>
      </c>
      <c r="G474" s="4" t="s">
        <v>22</v>
      </c>
      <c r="H474" s="4">
        <v>1</v>
      </c>
      <c r="I474" s="4" t="s">
        <v>37</v>
      </c>
      <c r="J474" s="4" t="s">
        <v>17</v>
      </c>
      <c r="K474" s="4">
        <v>27</v>
      </c>
      <c r="L474" s="4" t="str">
        <f t="shared" si="7"/>
        <v>Adolescent</v>
      </c>
      <c r="M474" s="4" t="s">
        <v>15</v>
      </c>
    </row>
    <row r="475" spans="1:13" x14ac:dyDescent="0.3">
      <c r="A475" s="4">
        <v>474</v>
      </c>
      <c r="B475" s="4" t="s">
        <v>41</v>
      </c>
      <c r="C475" s="4" t="s">
        <v>12</v>
      </c>
      <c r="D475" s="4">
        <v>103927</v>
      </c>
      <c r="E475" s="4" t="s">
        <v>31</v>
      </c>
      <c r="F475" s="4" t="s">
        <v>14</v>
      </c>
      <c r="G475" s="4" t="s">
        <v>15</v>
      </c>
      <c r="H475" s="4">
        <v>1</v>
      </c>
      <c r="I475" s="4" t="s">
        <v>33</v>
      </c>
      <c r="J475" s="4" t="s">
        <v>28</v>
      </c>
      <c r="K475" s="4">
        <v>24</v>
      </c>
      <c r="L475" s="4" t="str">
        <f t="shared" si="7"/>
        <v>Adolescent</v>
      </c>
      <c r="M475" s="4" t="s">
        <v>22</v>
      </c>
    </row>
    <row r="476" spans="1:13" x14ac:dyDescent="0.3">
      <c r="A476" s="4">
        <v>475</v>
      </c>
      <c r="B476" s="4" t="s">
        <v>41</v>
      </c>
      <c r="C476" s="4" t="s">
        <v>12</v>
      </c>
      <c r="D476" s="4">
        <v>43434</v>
      </c>
      <c r="E476" s="4" t="s">
        <v>20</v>
      </c>
      <c r="F476" s="4" t="s">
        <v>36</v>
      </c>
      <c r="G476" s="4" t="s">
        <v>15</v>
      </c>
      <c r="H476" s="4">
        <v>0</v>
      </c>
      <c r="I476" s="4" t="s">
        <v>23</v>
      </c>
      <c r="J476" s="4" t="s">
        <v>28</v>
      </c>
      <c r="K476" s="4">
        <v>50</v>
      </c>
      <c r="L476" s="4" t="str">
        <f t="shared" si="7"/>
        <v>Middle Age</v>
      </c>
      <c r="M476" s="4" t="s">
        <v>15</v>
      </c>
    </row>
    <row r="477" spans="1:13" x14ac:dyDescent="0.3">
      <c r="A477" s="4">
        <v>476</v>
      </c>
      <c r="B477" s="4" t="s">
        <v>41</v>
      </c>
      <c r="C477" s="4" t="s">
        <v>12</v>
      </c>
      <c r="D477" s="4">
        <v>91926</v>
      </c>
      <c r="E477" s="4" t="s">
        <v>20</v>
      </c>
      <c r="F477" s="4" t="s">
        <v>32</v>
      </c>
      <c r="G477" s="4" t="s">
        <v>15</v>
      </c>
      <c r="H477" s="4">
        <v>3</v>
      </c>
      <c r="I477" s="4" t="s">
        <v>37</v>
      </c>
      <c r="J477" s="4" t="s">
        <v>34</v>
      </c>
      <c r="K477" s="4">
        <v>37</v>
      </c>
      <c r="L477" s="4" t="str">
        <f t="shared" si="7"/>
        <v>Middle Age</v>
      </c>
      <c r="M477" s="4" t="s">
        <v>15</v>
      </c>
    </row>
    <row r="478" spans="1:13" x14ac:dyDescent="0.3">
      <c r="A478" s="4">
        <v>477</v>
      </c>
      <c r="B478" s="4" t="s">
        <v>41</v>
      </c>
      <c r="C478" s="4" t="s">
        <v>12</v>
      </c>
      <c r="D478" s="4">
        <v>43575</v>
      </c>
      <c r="E478" s="4" t="s">
        <v>26</v>
      </c>
      <c r="F478" s="4" t="s">
        <v>21</v>
      </c>
      <c r="G478" s="4" t="s">
        <v>15</v>
      </c>
      <c r="H478" s="4">
        <v>2</v>
      </c>
      <c r="I478" s="4" t="s">
        <v>33</v>
      </c>
      <c r="J478" s="4" t="s">
        <v>24</v>
      </c>
      <c r="K478" s="4">
        <v>41</v>
      </c>
      <c r="L478" s="4" t="str">
        <f t="shared" si="7"/>
        <v>Middle Age</v>
      </c>
      <c r="M478" s="4" t="s">
        <v>15</v>
      </c>
    </row>
    <row r="479" spans="1:13" x14ac:dyDescent="0.3">
      <c r="A479" s="4">
        <v>478</v>
      </c>
      <c r="B479" s="4" t="s">
        <v>41</v>
      </c>
      <c r="C479" s="4" t="s">
        <v>12</v>
      </c>
      <c r="D479" s="4">
        <v>103189</v>
      </c>
      <c r="E479" s="4" t="s">
        <v>26</v>
      </c>
      <c r="F479" s="4" t="s">
        <v>32</v>
      </c>
      <c r="G479" s="4" t="s">
        <v>15</v>
      </c>
      <c r="H479" s="4">
        <v>2</v>
      </c>
      <c r="I479" s="4" t="s">
        <v>23</v>
      </c>
      <c r="J479" s="4" t="s">
        <v>17</v>
      </c>
      <c r="K479" s="4">
        <v>44</v>
      </c>
      <c r="L479" s="4" t="str">
        <f t="shared" si="7"/>
        <v>Middle Age</v>
      </c>
      <c r="M479" s="4" t="s">
        <v>22</v>
      </c>
    </row>
    <row r="480" spans="1:13" x14ac:dyDescent="0.3">
      <c r="A480" s="4">
        <v>479</v>
      </c>
      <c r="B480" s="4" t="s">
        <v>40</v>
      </c>
      <c r="C480" s="4" t="s">
        <v>19</v>
      </c>
      <c r="D480" s="4">
        <v>59275</v>
      </c>
      <c r="E480" s="4" t="s">
        <v>26</v>
      </c>
      <c r="F480" s="4" t="s">
        <v>36</v>
      </c>
      <c r="G480" s="4" t="s">
        <v>22</v>
      </c>
      <c r="H480" s="4">
        <v>2</v>
      </c>
      <c r="I480" s="4" t="s">
        <v>27</v>
      </c>
      <c r="J480" s="4" t="s">
        <v>34</v>
      </c>
      <c r="K480" s="4">
        <v>36</v>
      </c>
      <c r="L480" s="4" t="str">
        <f t="shared" si="7"/>
        <v>Middle Age</v>
      </c>
      <c r="M480" s="4" t="s">
        <v>22</v>
      </c>
    </row>
    <row r="481" spans="1:13" x14ac:dyDescent="0.3">
      <c r="A481" s="4">
        <v>480</v>
      </c>
      <c r="B481" s="4" t="s">
        <v>41</v>
      </c>
      <c r="C481" s="4" t="s">
        <v>12</v>
      </c>
      <c r="D481" s="4">
        <v>37840</v>
      </c>
      <c r="E481" s="4" t="s">
        <v>20</v>
      </c>
      <c r="F481" s="4" t="s">
        <v>35</v>
      </c>
      <c r="G481" s="4" t="s">
        <v>15</v>
      </c>
      <c r="H481" s="4">
        <v>3</v>
      </c>
      <c r="I481" s="4" t="s">
        <v>37</v>
      </c>
      <c r="J481" s="4" t="s">
        <v>17</v>
      </c>
      <c r="K481" s="4">
        <v>38</v>
      </c>
      <c r="L481" s="4" t="str">
        <f t="shared" si="7"/>
        <v>Middle Age</v>
      </c>
      <c r="M481" s="4" t="s">
        <v>15</v>
      </c>
    </row>
    <row r="482" spans="1:13" x14ac:dyDescent="0.3">
      <c r="A482" s="4">
        <v>481</v>
      </c>
      <c r="B482" s="4" t="s">
        <v>41</v>
      </c>
      <c r="C482" s="4" t="s">
        <v>12</v>
      </c>
      <c r="D482" s="4">
        <v>46946</v>
      </c>
      <c r="E482" s="4" t="s">
        <v>26</v>
      </c>
      <c r="F482" s="4" t="s">
        <v>21</v>
      </c>
      <c r="G482" s="4" t="s">
        <v>15</v>
      </c>
      <c r="H482" s="4">
        <v>1</v>
      </c>
      <c r="I482" s="4" t="s">
        <v>16</v>
      </c>
      <c r="J482" s="4" t="s">
        <v>24</v>
      </c>
      <c r="K482" s="4">
        <v>38</v>
      </c>
      <c r="L482" s="4" t="str">
        <f t="shared" si="7"/>
        <v>Middle Age</v>
      </c>
      <c r="M482" s="4" t="s">
        <v>22</v>
      </c>
    </row>
    <row r="483" spans="1:13" x14ac:dyDescent="0.3">
      <c r="A483" s="4">
        <v>482</v>
      </c>
      <c r="B483" s="4" t="s">
        <v>41</v>
      </c>
      <c r="C483" s="4" t="s">
        <v>19</v>
      </c>
      <c r="D483" s="4">
        <v>32398</v>
      </c>
      <c r="E483" s="4" t="s">
        <v>26</v>
      </c>
      <c r="F483" s="4" t="s">
        <v>21</v>
      </c>
      <c r="G483" s="4" t="s">
        <v>15</v>
      </c>
      <c r="H483" s="4">
        <v>0</v>
      </c>
      <c r="I483" s="4" t="s">
        <v>37</v>
      </c>
      <c r="J483" s="4" t="s">
        <v>17</v>
      </c>
      <c r="K483" s="4">
        <v>22</v>
      </c>
      <c r="L483" s="4" t="str">
        <f t="shared" si="7"/>
        <v>Adolescent</v>
      </c>
      <c r="M483" s="4" t="s">
        <v>15</v>
      </c>
    </row>
    <row r="484" spans="1:13" x14ac:dyDescent="0.3">
      <c r="A484" s="4">
        <v>483</v>
      </c>
      <c r="B484" s="4" t="s">
        <v>41</v>
      </c>
      <c r="C484" s="4" t="s">
        <v>19</v>
      </c>
      <c r="D484" s="4">
        <v>96311</v>
      </c>
      <c r="E484" s="4" t="s">
        <v>26</v>
      </c>
      <c r="F484" s="4" t="s">
        <v>35</v>
      </c>
      <c r="G484" s="4" t="s">
        <v>22</v>
      </c>
      <c r="H484" s="4">
        <v>0</v>
      </c>
      <c r="I484" s="4" t="s">
        <v>16</v>
      </c>
      <c r="J484" s="4" t="s">
        <v>24</v>
      </c>
      <c r="K484" s="4">
        <v>31</v>
      </c>
      <c r="L484" s="4" t="str">
        <f t="shared" si="7"/>
        <v>Invalid</v>
      </c>
      <c r="M484" s="4" t="s">
        <v>15</v>
      </c>
    </row>
    <row r="485" spans="1:13" x14ac:dyDescent="0.3">
      <c r="A485" s="4">
        <v>484</v>
      </c>
      <c r="B485" s="4" t="s">
        <v>41</v>
      </c>
      <c r="C485" s="4" t="s">
        <v>19</v>
      </c>
      <c r="D485" s="4">
        <v>38250</v>
      </c>
      <c r="E485" s="4" t="s">
        <v>13</v>
      </c>
      <c r="F485" s="4" t="s">
        <v>36</v>
      </c>
      <c r="G485" s="4" t="s">
        <v>15</v>
      </c>
      <c r="H485" s="4">
        <v>1</v>
      </c>
      <c r="I485" s="4" t="s">
        <v>16</v>
      </c>
      <c r="J485" s="4" t="s">
        <v>34</v>
      </c>
      <c r="K485" s="4">
        <v>26</v>
      </c>
      <c r="L485" s="4" t="str">
        <f t="shared" si="7"/>
        <v>Adolescent</v>
      </c>
      <c r="M485" s="4" t="s">
        <v>15</v>
      </c>
    </row>
    <row r="486" spans="1:13" x14ac:dyDescent="0.3">
      <c r="A486" s="4">
        <v>485</v>
      </c>
      <c r="B486" s="4" t="s">
        <v>41</v>
      </c>
      <c r="C486" s="4" t="s">
        <v>12</v>
      </c>
      <c r="D486" s="4">
        <v>109685</v>
      </c>
      <c r="E486" s="4" t="s">
        <v>31</v>
      </c>
      <c r="F486" s="4" t="s">
        <v>14</v>
      </c>
      <c r="G486" s="4" t="s">
        <v>15</v>
      </c>
      <c r="H486" s="4">
        <v>2</v>
      </c>
      <c r="I486" s="4" t="s">
        <v>27</v>
      </c>
      <c r="J486" s="4" t="s">
        <v>24</v>
      </c>
      <c r="K486" s="4">
        <v>52</v>
      </c>
      <c r="L486" s="4" t="str">
        <f t="shared" si="7"/>
        <v>Middle Age</v>
      </c>
      <c r="M486" s="4" t="s">
        <v>15</v>
      </c>
    </row>
    <row r="487" spans="1:13" x14ac:dyDescent="0.3">
      <c r="A487" s="4">
        <v>486</v>
      </c>
      <c r="B487" s="4" t="s">
        <v>40</v>
      </c>
      <c r="C487" s="4" t="s">
        <v>19</v>
      </c>
      <c r="D487" s="4">
        <v>46210</v>
      </c>
      <c r="E487" s="4" t="s">
        <v>20</v>
      </c>
      <c r="F487" s="4" t="s">
        <v>14</v>
      </c>
      <c r="G487" s="4" t="s">
        <v>15</v>
      </c>
      <c r="H487" s="4">
        <v>1</v>
      </c>
      <c r="I487" s="4" t="s">
        <v>16</v>
      </c>
      <c r="J487" s="4" t="s">
        <v>17</v>
      </c>
      <c r="K487" s="4">
        <v>18</v>
      </c>
      <c r="L487" s="4" t="str">
        <f t="shared" si="7"/>
        <v>Adolescent</v>
      </c>
      <c r="M487" s="4" t="s">
        <v>15</v>
      </c>
    </row>
    <row r="488" spans="1:13" x14ac:dyDescent="0.3">
      <c r="A488" s="4">
        <v>487</v>
      </c>
      <c r="B488" s="4" t="s">
        <v>40</v>
      </c>
      <c r="C488" s="4" t="s">
        <v>12</v>
      </c>
      <c r="D488" s="4">
        <v>84332</v>
      </c>
      <c r="E488" s="4" t="s">
        <v>20</v>
      </c>
      <c r="F488" s="4" t="s">
        <v>21</v>
      </c>
      <c r="G488" s="4" t="s">
        <v>22</v>
      </c>
      <c r="H488" s="4">
        <v>3</v>
      </c>
      <c r="I488" s="4" t="s">
        <v>37</v>
      </c>
      <c r="J488" s="4" t="s">
        <v>24</v>
      </c>
      <c r="K488" s="4">
        <v>22</v>
      </c>
      <c r="L488" s="4" t="str">
        <f t="shared" si="7"/>
        <v>Adolescent</v>
      </c>
      <c r="M488" s="4" t="s">
        <v>15</v>
      </c>
    </row>
    <row r="489" spans="1:13" x14ac:dyDescent="0.3">
      <c r="A489" s="4">
        <v>488</v>
      </c>
      <c r="B489" s="4" t="s">
        <v>40</v>
      </c>
      <c r="C489" s="4" t="s">
        <v>12</v>
      </c>
      <c r="D489" s="4">
        <v>29157</v>
      </c>
      <c r="E489" s="4" t="s">
        <v>31</v>
      </c>
      <c r="F489" s="4" t="s">
        <v>36</v>
      </c>
      <c r="G489" s="4" t="s">
        <v>15</v>
      </c>
      <c r="H489" s="4">
        <v>3</v>
      </c>
      <c r="I489" s="4" t="s">
        <v>33</v>
      </c>
      <c r="J489" s="4" t="s">
        <v>17</v>
      </c>
      <c r="K489" s="4">
        <v>38</v>
      </c>
      <c r="L489" s="4" t="str">
        <f t="shared" si="7"/>
        <v>Middle Age</v>
      </c>
      <c r="M489" s="4" t="s">
        <v>15</v>
      </c>
    </row>
    <row r="490" spans="1:13" x14ac:dyDescent="0.3">
      <c r="A490" s="4">
        <v>489</v>
      </c>
      <c r="B490" s="4" t="s">
        <v>40</v>
      </c>
      <c r="C490" s="4" t="s">
        <v>19</v>
      </c>
      <c r="D490" s="4">
        <v>53933</v>
      </c>
      <c r="E490" s="4" t="s">
        <v>13</v>
      </c>
      <c r="F490" s="4" t="s">
        <v>32</v>
      </c>
      <c r="G490" s="4" t="s">
        <v>15</v>
      </c>
      <c r="H490" s="4">
        <v>0</v>
      </c>
      <c r="I490" s="4" t="s">
        <v>37</v>
      </c>
      <c r="J490" s="4" t="s">
        <v>17</v>
      </c>
      <c r="K490" s="4">
        <v>39</v>
      </c>
      <c r="L490" s="4" t="str">
        <f t="shared" si="7"/>
        <v>Middle Age</v>
      </c>
      <c r="M490" s="4" t="s">
        <v>15</v>
      </c>
    </row>
    <row r="491" spans="1:13" x14ac:dyDescent="0.3">
      <c r="A491" s="4">
        <v>490</v>
      </c>
      <c r="B491" s="4" t="s">
        <v>40</v>
      </c>
      <c r="C491" s="4" t="s">
        <v>19</v>
      </c>
      <c r="D491" s="4">
        <v>101442</v>
      </c>
      <c r="E491" s="4" t="s">
        <v>13</v>
      </c>
      <c r="F491" s="4" t="s">
        <v>32</v>
      </c>
      <c r="G491" s="4" t="s">
        <v>15</v>
      </c>
      <c r="H491" s="4">
        <v>3</v>
      </c>
      <c r="I491" s="4" t="s">
        <v>37</v>
      </c>
      <c r="J491" s="4" t="s">
        <v>24</v>
      </c>
      <c r="K491" s="4">
        <v>34</v>
      </c>
      <c r="L491" s="4" t="str">
        <f t="shared" si="7"/>
        <v>Middle Age</v>
      </c>
      <c r="M491" s="4" t="s">
        <v>15</v>
      </c>
    </row>
    <row r="492" spans="1:13" x14ac:dyDescent="0.3">
      <c r="A492" s="4">
        <v>491</v>
      </c>
      <c r="B492" s="4" t="s">
        <v>41</v>
      </c>
      <c r="C492" s="4" t="s">
        <v>12</v>
      </c>
      <c r="D492" s="4">
        <v>35558</v>
      </c>
      <c r="E492" s="4" t="s">
        <v>31</v>
      </c>
      <c r="F492" s="4" t="s">
        <v>35</v>
      </c>
      <c r="G492" s="4" t="s">
        <v>15</v>
      </c>
      <c r="H492" s="4">
        <v>3</v>
      </c>
      <c r="I492" s="4" t="s">
        <v>33</v>
      </c>
      <c r="J492" s="4" t="s">
        <v>34</v>
      </c>
      <c r="K492" s="4">
        <v>25</v>
      </c>
      <c r="L492" s="4" t="str">
        <f t="shared" si="7"/>
        <v>Adolescent</v>
      </c>
      <c r="M492" s="4" t="s">
        <v>15</v>
      </c>
    </row>
    <row r="493" spans="1:13" x14ac:dyDescent="0.3">
      <c r="A493" s="4">
        <v>492</v>
      </c>
      <c r="B493" s="4" t="s">
        <v>41</v>
      </c>
      <c r="C493" s="4" t="s">
        <v>19</v>
      </c>
      <c r="D493" s="4">
        <v>70955</v>
      </c>
      <c r="E493" s="4" t="s">
        <v>13</v>
      </c>
      <c r="F493" s="4" t="s">
        <v>35</v>
      </c>
      <c r="G493" s="4" t="s">
        <v>15</v>
      </c>
      <c r="H493" s="4">
        <v>3</v>
      </c>
      <c r="I493" s="4" t="s">
        <v>33</v>
      </c>
      <c r="J493" s="4" t="s">
        <v>34</v>
      </c>
      <c r="K493" s="4">
        <v>45</v>
      </c>
      <c r="L493" s="4" t="str">
        <f t="shared" si="7"/>
        <v>Middle Age</v>
      </c>
      <c r="M493" s="4" t="s">
        <v>15</v>
      </c>
    </row>
    <row r="494" spans="1:13" x14ac:dyDescent="0.3">
      <c r="A494" s="4">
        <v>493</v>
      </c>
      <c r="B494" s="4" t="s">
        <v>41</v>
      </c>
      <c r="C494" s="4" t="s">
        <v>12</v>
      </c>
      <c r="D494" s="4">
        <v>71363</v>
      </c>
      <c r="E494" s="4" t="s">
        <v>26</v>
      </c>
      <c r="F494" s="4" t="s">
        <v>35</v>
      </c>
      <c r="G494" s="4" t="s">
        <v>22</v>
      </c>
      <c r="H494" s="4">
        <v>0</v>
      </c>
      <c r="I494" s="4" t="s">
        <v>23</v>
      </c>
      <c r="J494" s="4" t="s">
        <v>24</v>
      </c>
      <c r="K494" s="4">
        <v>49</v>
      </c>
      <c r="L494" s="4" t="str">
        <f t="shared" si="7"/>
        <v>Middle Age</v>
      </c>
      <c r="M494" s="4" t="s">
        <v>15</v>
      </c>
    </row>
    <row r="495" spans="1:13" x14ac:dyDescent="0.3">
      <c r="A495" s="4">
        <v>494</v>
      </c>
      <c r="B495" s="4" t="s">
        <v>41</v>
      </c>
      <c r="C495" s="4" t="s">
        <v>12</v>
      </c>
      <c r="D495" s="4">
        <v>111068</v>
      </c>
      <c r="E495" s="4" t="s">
        <v>31</v>
      </c>
      <c r="F495" s="4" t="s">
        <v>35</v>
      </c>
      <c r="G495" s="4" t="s">
        <v>22</v>
      </c>
      <c r="H495" s="4">
        <v>1</v>
      </c>
      <c r="I495" s="4" t="s">
        <v>27</v>
      </c>
      <c r="J495" s="4" t="s">
        <v>28</v>
      </c>
      <c r="K495" s="4">
        <v>22</v>
      </c>
      <c r="L495" s="4" t="str">
        <f t="shared" si="7"/>
        <v>Adolescent</v>
      </c>
      <c r="M495" s="4" t="s">
        <v>15</v>
      </c>
    </row>
    <row r="496" spans="1:13" x14ac:dyDescent="0.3">
      <c r="A496" s="4">
        <v>495</v>
      </c>
      <c r="B496" s="4" t="s">
        <v>41</v>
      </c>
      <c r="C496" s="4" t="s">
        <v>12</v>
      </c>
      <c r="D496" s="4">
        <v>86541</v>
      </c>
      <c r="E496" s="4" t="s">
        <v>20</v>
      </c>
      <c r="F496" s="4" t="s">
        <v>36</v>
      </c>
      <c r="G496" s="4" t="s">
        <v>15</v>
      </c>
      <c r="H496" s="4">
        <v>2</v>
      </c>
      <c r="I496" s="4" t="s">
        <v>27</v>
      </c>
      <c r="J496" s="4" t="s">
        <v>17</v>
      </c>
      <c r="K496" s="4">
        <v>55</v>
      </c>
      <c r="L496" s="4" t="str">
        <f t="shared" si="7"/>
        <v>Old</v>
      </c>
      <c r="M496" s="4" t="s">
        <v>15</v>
      </c>
    </row>
    <row r="497" spans="1:13" x14ac:dyDescent="0.3">
      <c r="A497" s="4">
        <v>496</v>
      </c>
      <c r="B497" s="4" t="s">
        <v>41</v>
      </c>
      <c r="C497" s="4" t="s">
        <v>12</v>
      </c>
      <c r="D497" s="4">
        <v>25497</v>
      </c>
      <c r="E497" s="4" t="s">
        <v>13</v>
      </c>
      <c r="F497" s="4" t="s">
        <v>36</v>
      </c>
      <c r="G497" s="4" t="s">
        <v>22</v>
      </c>
      <c r="H497" s="4">
        <v>1</v>
      </c>
      <c r="I497" s="4" t="s">
        <v>16</v>
      </c>
      <c r="J497" s="4" t="s">
        <v>17</v>
      </c>
      <c r="K497" s="4">
        <v>51</v>
      </c>
      <c r="L497" s="4" t="str">
        <f t="shared" si="7"/>
        <v>Middle Age</v>
      </c>
      <c r="M497" s="4" t="s">
        <v>15</v>
      </c>
    </row>
    <row r="498" spans="1:13" x14ac:dyDescent="0.3">
      <c r="A498" s="4">
        <v>497</v>
      </c>
      <c r="B498" s="4" t="s">
        <v>41</v>
      </c>
      <c r="C498" s="4" t="s">
        <v>12</v>
      </c>
      <c r="D498" s="4">
        <v>51302</v>
      </c>
      <c r="E498" s="4" t="s">
        <v>20</v>
      </c>
      <c r="F498" s="4" t="s">
        <v>32</v>
      </c>
      <c r="G498" s="4" t="s">
        <v>15</v>
      </c>
      <c r="H498" s="4">
        <v>3</v>
      </c>
      <c r="I498" s="4" t="s">
        <v>37</v>
      </c>
      <c r="J498" s="4" t="s">
        <v>34</v>
      </c>
      <c r="K498" s="4">
        <v>34</v>
      </c>
      <c r="L498" s="4" t="str">
        <f t="shared" si="7"/>
        <v>Middle Age</v>
      </c>
      <c r="M498" s="4" t="s">
        <v>15</v>
      </c>
    </row>
    <row r="499" spans="1:13" x14ac:dyDescent="0.3">
      <c r="A499" s="4">
        <v>498</v>
      </c>
      <c r="B499" s="4" t="s">
        <v>41</v>
      </c>
      <c r="C499" s="4" t="s">
        <v>12</v>
      </c>
      <c r="D499" s="4">
        <v>63180</v>
      </c>
      <c r="E499" s="4" t="s">
        <v>26</v>
      </c>
      <c r="F499" s="4" t="s">
        <v>36</v>
      </c>
      <c r="G499" s="4" t="s">
        <v>15</v>
      </c>
      <c r="H499" s="4">
        <v>0</v>
      </c>
      <c r="I499" s="4" t="s">
        <v>37</v>
      </c>
      <c r="J499" s="4" t="s">
        <v>24</v>
      </c>
      <c r="K499" s="4">
        <v>50</v>
      </c>
      <c r="L499" s="4" t="str">
        <f t="shared" si="7"/>
        <v>Middle Age</v>
      </c>
      <c r="M499" s="4" t="s">
        <v>15</v>
      </c>
    </row>
    <row r="500" spans="1:13" x14ac:dyDescent="0.3">
      <c r="A500" s="4">
        <v>499</v>
      </c>
      <c r="B500" s="4" t="s">
        <v>40</v>
      </c>
      <c r="C500" s="4" t="s">
        <v>19</v>
      </c>
      <c r="D500" s="4">
        <v>74110</v>
      </c>
      <c r="E500" s="4" t="s">
        <v>26</v>
      </c>
      <c r="F500" s="4" t="s">
        <v>32</v>
      </c>
      <c r="G500" s="4" t="s">
        <v>15</v>
      </c>
      <c r="H500" s="4">
        <v>3</v>
      </c>
      <c r="I500" s="4" t="s">
        <v>33</v>
      </c>
      <c r="J500" s="4" t="s">
        <v>24</v>
      </c>
      <c r="K500" s="4">
        <v>53</v>
      </c>
      <c r="L500" s="4" t="str">
        <f t="shared" si="7"/>
        <v>Middle Age</v>
      </c>
      <c r="M500" s="4" t="s">
        <v>15</v>
      </c>
    </row>
    <row r="501" spans="1:13" x14ac:dyDescent="0.3">
      <c r="A501" s="4">
        <v>500</v>
      </c>
      <c r="B501" s="4" t="s">
        <v>40</v>
      </c>
      <c r="C501" s="4" t="s">
        <v>12</v>
      </c>
      <c r="D501" s="4">
        <v>112281</v>
      </c>
      <c r="E501" s="4" t="s">
        <v>13</v>
      </c>
      <c r="F501" s="4" t="s">
        <v>32</v>
      </c>
      <c r="G501" s="4" t="s">
        <v>15</v>
      </c>
      <c r="H501" s="4">
        <v>3</v>
      </c>
      <c r="I501" s="4" t="s">
        <v>27</v>
      </c>
      <c r="J501" s="4" t="s">
        <v>34</v>
      </c>
      <c r="K501" s="4">
        <v>25</v>
      </c>
      <c r="L501" s="4" t="str">
        <f t="shared" si="7"/>
        <v>Adolescent</v>
      </c>
      <c r="M501" s="4" t="s">
        <v>15</v>
      </c>
    </row>
    <row r="502" spans="1:13" x14ac:dyDescent="0.3">
      <c r="C502" s="6"/>
    </row>
  </sheetData>
  <autoFilter ref="A1:M501" xr:uid="{A81F4E52-16D3-443D-BF41-266E31C12D68}">
    <sortState xmlns:xlrd2="http://schemas.microsoft.com/office/spreadsheetml/2017/richdata2" ref="A2:M501">
      <sortCondition ref="A1:A501"/>
    </sortState>
  </autoFilter>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C4EF5A-A1A0-49BA-9C94-EEA65645E6BB}">
  <dimension ref="A3:D107"/>
  <sheetViews>
    <sheetView workbookViewId="0">
      <selection activeCell="O28" sqref="O28"/>
    </sheetView>
  </sheetViews>
  <sheetFormatPr defaultRowHeight="14.4" x14ac:dyDescent="0.3"/>
  <cols>
    <col min="1" max="1" width="21.88671875" bestFit="1" customWidth="1"/>
    <col min="2" max="2" width="15.5546875" bestFit="1" customWidth="1"/>
    <col min="3" max="3" width="3.77734375" bestFit="1" customWidth="1"/>
    <col min="4" max="4" width="10.77734375" bestFit="1" customWidth="1"/>
  </cols>
  <sheetData>
    <row r="3" spans="1:4" x14ac:dyDescent="0.3">
      <c r="A3" s="10" t="s">
        <v>46</v>
      </c>
      <c r="B3" s="13" t="s">
        <v>47</v>
      </c>
      <c r="C3" s="12"/>
      <c r="D3" s="12"/>
    </row>
    <row r="4" spans="1:4" x14ac:dyDescent="0.3">
      <c r="A4" s="10" t="s">
        <v>44</v>
      </c>
      <c r="B4" s="12" t="s">
        <v>15</v>
      </c>
      <c r="C4" s="12" t="s">
        <v>22</v>
      </c>
      <c r="D4" s="12" t="s">
        <v>45</v>
      </c>
    </row>
    <row r="5" spans="1:4" x14ac:dyDescent="0.3">
      <c r="A5" s="11" t="s">
        <v>40</v>
      </c>
      <c r="B5" s="12">
        <v>210.5</v>
      </c>
      <c r="C5" s="12">
        <v>186</v>
      </c>
      <c r="D5" s="12">
        <v>207</v>
      </c>
    </row>
    <row r="6" spans="1:4" x14ac:dyDescent="0.3">
      <c r="A6" s="11" t="s">
        <v>41</v>
      </c>
      <c r="B6" s="12">
        <v>201.5</v>
      </c>
      <c r="C6" s="12">
        <v>453</v>
      </c>
      <c r="D6" s="12">
        <v>251.8</v>
      </c>
    </row>
    <row r="7" spans="1:4" x14ac:dyDescent="0.3">
      <c r="A7" s="11" t="s">
        <v>45</v>
      </c>
      <c r="B7" s="12">
        <v>206.9</v>
      </c>
      <c r="C7" s="12">
        <v>319.5</v>
      </c>
      <c r="D7" s="12">
        <v>225.66666666666666</v>
      </c>
    </row>
    <row r="16" spans="1:4" x14ac:dyDescent="0.3">
      <c r="A16" s="8" t="s">
        <v>48</v>
      </c>
      <c r="B16" s="8" t="s">
        <v>47</v>
      </c>
    </row>
    <row r="17" spans="1:4" x14ac:dyDescent="0.3">
      <c r="A17" s="8" t="s">
        <v>44</v>
      </c>
      <c r="B17" t="s">
        <v>15</v>
      </c>
      <c r="C17" t="s">
        <v>22</v>
      </c>
      <c r="D17" t="s">
        <v>45</v>
      </c>
    </row>
    <row r="18" spans="1:4" x14ac:dyDescent="0.3">
      <c r="A18" s="9" t="s">
        <v>16</v>
      </c>
      <c r="B18" s="5">
        <v>1</v>
      </c>
      <c r="C18" s="5"/>
      <c r="D18" s="5">
        <v>1</v>
      </c>
    </row>
    <row r="19" spans="1:4" x14ac:dyDescent="0.3">
      <c r="A19" s="9" t="s">
        <v>27</v>
      </c>
      <c r="B19" s="5">
        <v>3</v>
      </c>
      <c r="C19" s="5">
        <v>1</v>
      </c>
      <c r="D19" s="5">
        <v>4</v>
      </c>
    </row>
    <row r="20" spans="1:4" x14ac:dyDescent="0.3">
      <c r="A20" s="9" t="s">
        <v>37</v>
      </c>
      <c r="B20" s="5">
        <v>1</v>
      </c>
      <c r="C20" s="5">
        <v>2</v>
      </c>
      <c r="D20" s="5">
        <v>3</v>
      </c>
    </row>
    <row r="21" spans="1:4" x14ac:dyDescent="0.3">
      <c r="A21" s="9" t="s">
        <v>23</v>
      </c>
      <c r="B21" s="5">
        <v>1</v>
      </c>
      <c r="C21" s="5"/>
      <c r="D21" s="5">
        <v>1</v>
      </c>
    </row>
    <row r="22" spans="1:4" x14ac:dyDescent="0.3">
      <c r="A22" s="9" t="s">
        <v>45</v>
      </c>
      <c r="B22" s="5">
        <v>6</v>
      </c>
      <c r="C22" s="5">
        <v>3</v>
      </c>
      <c r="D22" s="5">
        <v>9</v>
      </c>
    </row>
    <row r="44" spans="1:4" x14ac:dyDescent="0.3">
      <c r="A44" s="8" t="s">
        <v>48</v>
      </c>
      <c r="B44" s="8" t="s">
        <v>47</v>
      </c>
    </row>
    <row r="45" spans="1:4" x14ac:dyDescent="0.3">
      <c r="A45" s="8" t="s">
        <v>44</v>
      </c>
      <c r="B45" t="s">
        <v>15</v>
      </c>
      <c r="C45" t="s">
        <v>22</v>
      </c>
      <c r="D45" t="s">
        <v>45</v>
      </c>
    </row>
    <row r="46" spans="1:4" x14ac:dyDescent="0.3">
      <c r="A46" s="9" t="s">
        <v>49</v>
      </c>
      <c r="B46" s="5">
        <v>103</v>
      </c>
      <c r="C46" s="5">
        <v>45</v>
      </c>
      <c r="D46" s="5">
        <v>148</v>
      </c>
    </row>
    <row r="47" spans="1:4" x14ac:dyDescent="0.3">
      <c r="A47" s="9" t="s">
        <v>50</v>
      </c>
      <c r="B47" s="5">
        <v>8</v>
      </c>
      <c r="C47" s="5">
        <v>4</v>
      </c>
      <c r="D47" s="5">
        <v>12</v>
      </c>
    </row>
    <row r="48" spans="1:4" x14ac:dyDescent="0.3">
      <c r="A48" s="9" t="s">
        <v>51</v>
      </c>
      <c r="B48" s="5">
        <v>230</v>
      </c>
      <c r="C48" s="5">
        <v>48</v>
      </c>
      <c r="D48" s="5">
        <v>278</v>
      </c>
    </row>
    <row r="49" spans="1:4" x14ac:dyDescent="0.3">
      <c r="A49" s="9" t="s">
        <v>52</v>
      </c>
      <c r="B49" s="5">
        <v>62</v>
      </c>
      <c r="C49" s="5"/>
      <c r="D49" s="5">
        <v>62</v>
      </c>
    </row>
    <row r="50" spans="1:4" x14ac:dyDescent="0.3">
      <c r="A50" s="9" t="s">
        <v>45</v>
      </c>
      <c r="B50" s="5">
        <v>403</v>
      </c>
      <c r="C50" s="5">
        <v>97</v>
      </c>
      <c r="D50" s="5">
        <v>500</v>
      </c>
    </row>
    <row r="58" spans="1:4" x14ac:dyDescent="0.3">
      <c r="A58" s="8" t="s">
        <v>48</v>
      </c>
      <c r="B58" s="8" t="s">
        <v>47</v>
      </c>
    </row>
    <row r="59" spans="1:4" x14ac:dyDescent="0.3">
      <c r="A59" s="8" t="s">
        <v>44</v>
      </c>
      <c r="B59" t="s">
        <v>15</v>
      </c>
      <c r="C59" t="s">
        <v>22</v>
      </c>
      <c r="D59" t="s">
        <v>45</v>
      </c>
    </row>
    <row r="60" spans="1:4" x14ac:dyDescent="0.3">
      <c r="A60" s="9" t="s">
        <v>49</v>
      </c>
      <c r="B60" s="5">
        <v>103</v>
      </c>
      <c r="C60" s="5">
        <v>45</v>
      </c>
      <c r="D60" s="5">
        <v>148</v>
      </c>
    </row>
    <row r="61" spans="1:4" x14ac:dyDescent="0.3">
      <c r="A61" s="14">
        <v>18</v>
      </c>
      <c r="B61" s="5">
        <v>11</v>
      </c>
      <c r="C61" s="5">
        <v>3</v>
      </c>
      <c r="D61" s="5">
        <v>14</v>
      </c>
    </row>
    <row r="62" spans="1:4" x14ac:dyDescent="0.3">
      <c r="A62" s="14">
        <v>19</v>
      </c>
      <c r="B62" s="5">
        <v>7</v>
      </c>
      <c r="C62" s="5">
        <v>7</v>
      </c>
      <c r="D62" s="5">
        <v>14</v>
      </c>
    </row>
    <row r="63" spans="1:4" x14ac:dyDescent="0.3">
      <c r="A63" s="14">
        <v>20</v>
      </c>
      <c r="B63" s="5">
        <v>11</v>
      </c>
      <c r="C63" s="5">
        <v>2</v>
      </c>
      <c r="D63" s="5">
        <v>13</v>
      </c>
    </row>
    <row r="64" spans="1:4" x14ac:dyDescent="0.3">
      <c r="A64" s="14">
        <v>21</v>
      </c>
      <c r="B64" s="5">
        <v>6</v>
      </c>
      <c r="C64" s="5">
        <v>3</v>
      </c>
      <c r="D64" s="5">
        <v>9</v>
      </c>
    </row>
    <row r="65" spans="1:4" x14ac:dyDescent="0.3">
      <c r="A65" s="14">
        <v>22</v>
      </c>
      <c r="B65" s="5">
        <v>7</v>
      </c>
      <c r="C65" s="5">
        <v>5</v>
      </c>
      <c r="D65" s="5">
        <v>12</v>
      </c>
    </row>
    <row r="66" spans="1:4" x14ac:dyDescent="0.3">
      <c r="A66" s="14">
        <v>23</v>
      </c>
      <c r="B66" s="5">
        <v>8</v>
      </c>
      <c r="C66" s="5">
        <v>4</v>
      </c>
      <c r="D66" s="5">
        <v>12</v>
      </c>
    </row>
    <row r="67" spans="1:4" x14ac:dyDescent="0.3">
      <c r="A67" s="14">
        <v>24</v>
      </c>
      <c r="B67" s="5">
        <v>6</v>
      </c>
      <c r="C67" s="5">
        <v>5</v>
      </c>
      <c r="D67" s="5">
        <v>11</v>
      </c>
    </row>
    <row r="68" spans="1:4" x14ac:dyDescent="0.3">
      <c r="A68" s="14">
        <v>25</v>
      </c>
      <c r="B68" s="5">
        <v>10</v>
      </c>
      <c r="C68" s="5">
        <v>1</v>
      </c>
      <c r="D68" s="5">
        <v>11</v>
      </c>
    </row>
    <row r="69" spans="1:4" x14ac:dyDescent="0.3">
      <c r="A69" s="14">
        <v>26</v>
      </c>
      <c r="B69" s="5">
        <v>9</v>
      </c>
      <c r="C69" s="5">
        <v>3</v>
      </c>
      <c r="D69" s="5">
        <v>12</v>
      </c>
    </row>
    <row r="70" spans="1:4" x14ac:dyDescent="0.3">
      <c r="A70" s="14">
        <v>27</v>
      </c>
      <c r="B70" s="5">
        <v>10</v>
      </c>
      <c r="C70" s="5">
        <v>2</v>
      </c>
      <c r="D70" s="5">
        <v>12</v>
      </c>
    </row>
    <row r="71" spans="1:4" x14ac:dyDescent="0.3">
      <c r="A71" s="14">
        <v>28</v>
      </c>
      <c r="B71" s="5">
        <v>10</v>
      </c>
      <c r="C71" s="5">
        <v>2</v>
      </c>
      <c r="D71" s="5">
        <v>12</v>
      </c>
    </row>
    <row r="72" spans="1:4" x14ac:dyDescent="0.3">
      <c r="A72" s="14">
        <v>29</v>
      </c>
      <c r="B72" s="5">
        <v>6</v>
      </c>
      <c r="C72" s="5">
        <v>3</v>
      </c>
      <c r="D72" s="5">
        <v>9</v>
      </c>
    </row>
    <row r="73" spans="1:4" x14ac:dyDescent="0.3">
      <c r="A73" s="14">
        <v>30</v>
      </c>
      <c r="B73" s="5">
        <v>2</v>
      </c>
      <c r="C73" s="5">
        <v>5</v>
      </c>
      <c r="D73" s="5">
        <v>7</v>
      </c>
    </row>
    <row r="74" spans="1:4" x14ac:dyDescent="0.3">
      <c r="A74" s="9" t="s">
        <v>50</v>
      </c>
      <c r="B74" s="5">
        <v>8</v>
      </c>
      <c r="C74" s="5">
        <v>4</v>
      </c>
      <c r="D74" s="5">
        <v>12</v>
      </c>
    </row>
    <row r="75" spans="1:4" x14ac:dyDescent="0.3">
      <c r="A75" s="14">
        <v>31</v>
      </c>
      <c r="B75" s="5">
        <v>8</v>
      </c>
      <c r="C75" s="5">
        <v>4</v>
      </c>
      <c r="D75" s="5">
        <v>12</v>
      </c>
    </row>
    <row r="76" spans="1:4" x14ac:dyDescent="0.3">
      <c r="A76" s="9" t="s">
        <v>51</v>
      </c>
      <c r="B76" s="5">
        <v>230</v>
      </c>
      <c r="C76" s="5">
        <v>48</v>
      </c>
      <c r="D76" s="5">
        <v>278</v>
      </c>
    </row>
    <row r="77" spans="1:4" x14ac:dyDescent="0.3">
      <c r="A77" s="14">
        <v>32</v>
      </c>
      <c r="B77" s="5">
        <v>12</v>
      </c>
      <c r="C77" s="5">
        <v>3</v>
      </c>
      <c r="D77" s="5">
        <v>15</v>
      </c>
    </row>
    <row r="78" spans="1:4" x14ac:dyDescent="0.3">
      <c r="A78" s="14">
        <v>33</v>
      </c>
      <c r="B78" s="5">
        <v>9</v>
      </c>
      <c r="C78" s="5">
        <v>3</v>
      </c>
      <c r="D78" s="5">
        <v>12</v>
      </c>
    </row>
    <row r="79" spans="1:4" x14ac:dyDescent="0.3">
      <c r="A79" s="14">
        <v>34</v>
      </c>
      <c r="B79" s="5">
        <v>9</v>
      </c>
      <c r="C79" s="5">
        <v>5</v>
      </c>
      <c r="D79" s="5">
        <v>14</v>
      </c>
    </row>
    <row r="80" spans="1:4" x14ac:dyDescent="0.3">
      <c r="A80" s="14">
        <v>35</v>
      </c>
      <c r="B80" s="5">
        <v>8</v>
      </c>
      <c r="C80" s="5">
        <v>1</v>
      </c>
      <c r="D80" s="5">
        <v>9</v>
      </c>
    </row>
    <row r="81" spans="1:4" x14ac:dyDescent="0.3">
      <c r="A81" s="14">
        <v>36</v>
      </c>
      <c r="B81" s="5">
        <v>8</v>
      </c>
      <c r="C81" s="5">
        <v>5</v>
      </c>
      <c r="D81" s="5">
        <v>13</v>
      </c>
    </row>
    <row r="82" spans="1:4" x14ac:dyDescent="0.3">
      <c r="A82" s="14">
        <v>37</v>
      </c>
      <c r="B82" s="5">
        <v>9</v>
      </c>
      <c r="C82" s="5">
        <v>2</v>
      </c>
      <c r="D82" s="5">
        <v>11</v>
      </c>
    </row>
    <row r="83" spans="1:4" x14ac:dyDescent="0.3">
      <c r="A83" s="14">
        <v>38</v>
      </c>
      <c r="B83" s="5">
        <v>11</v>
      </c>
      <c r="C83" s="5">
        <v>4</v>
      </c>
      <c r="D83" s="5">
        <v>15</v>
      </c>
    </row>
    <row r="84" spans="1:4" x14ac:dyDescent="0.3">
      <c r="A84" s="14">
        <v>39</v>
      </c>
      <c r="B84" s="5">
        <v>5</v>
      </c>
      <c r="C84" s="5">
        <v>3</v>
      </c>
      <c r="D84" s="5">
        <v>8</v>
      </c>
    </row>
    <row r="85" spans="1:4" x14ac:dyDescent="0.3">
      <c r="A85" s="14">
        <v>40</v>
      </c>
      <c r="B85" s="5">
        <v>6</v>
      </c>
      <c r="C85" s="5">
        <v>3</v>
      </c>
      <c r="D85" s="5">
        <v>9</v>
      </c>
    </row>
    <row r="86" spans="1:4" x14ac:dyDescent="0.3">
      <c r="A86" s="14">
        <v>41</v>
      </c>
      <c r="B86" s="5">
        <v>11</v>
      </c>
      <c r="C86" s="5">
        <v>7</v>
      </c>
      <c r="D86" s="5">
        <v>18</v>
      </c>
    </row>
    <row r="87" spans="1:4" x14ac:dyDescent="0.3">
      <c r="A87" s="14">
        <v>42</v>
      </c>
      <c r="B87" s="5">
        <v>9</v>
      </c>
      <c r="C87" s="5">
        <v>6</v>
      </c>
      <c r="D87" s="5">
        <v>15</v>
      </c>
    </row>
    <row r="88" spans="1:4" x14ac:dyDescent="0.3">
      <c r="A88" s="14">
        <v>43</v>
      </c>
      <c r="B88" s="5">
        <v>8</v>
      </c>
      <c r="C88" s="5">
        <v>3</v>
      </c>
      <c r="D88" s="5">
        <v>11</v>
      </c>
    </row>
    <row r="89" spans="1:4" x14ac:dyDescent="0.3">
      <c r="A89" s="14">
        <v>44</v>
      </c>
      <c r="B89" s="5">
        <v>11</v>
      </c>
      <c r="C89" s="5">
        <v>3</v>
      </c>
      <c r="D89" s="5">
        <v>14</v>
      </c>
    </row>
    <row r="90" spans="1:4" x14ac:dyDescent="0.3">
      <c r="A90" s="14">
        <v>45</v>
      </c>
      <c r="B90" s="5">
        <v>9</v>
      </c>
      <c r="C90" s="5"/>
      <c r="D90" s="5">
        <v>9</v>
      </c>
    </row>
    <row r="91" spans="1:4" x14ac:dyDescent="0.3">
      <c r="A91" s="14">
        <v>46</v>
      </c>
      <c r="B91" s="5">
        <v>14</v>
      </c>
      <c r="C91" s="5"/>
      <c r="D91" s="5">
        <v>14</v>
      </c>
    </row>
    <row r="92" spans="1:4" x14ac:dyDescent="0.3">
      <c r="A92" s="14">
        <v>47</v>
      </c>
      <c r="B92" s="5">
        <v>7</v>
      </c>
      <c r="C92" s="5"/>
      <c r="D92" s="5">
        <v>7</v>
      </c>
    </row>
    <row r="93" spans="1:4" x14ac:dyDescent="0.3">
      <c r="A93" s="14">
        <v>48</v>
      </c>
      <c r="B93" s="5">
        <v>13</v>
      </c>
      <c r="C93" s="5"/>
      <c r="D93" s="5">
        <v>13</v>
      </c>
    </row>
    <row r="94" spans="1:4" x14ac:dyDescent="0.3">
      <c r="A94" s="14">
        <v>49</v>
      </c>
      <c r="B94" s="5">
        <v>13</v>
      </c>
      <c r="C94" s="5"/>
      <c r="D94" s="5">
        <v>13</v>
      </c>
    </row>
    <row r="95" spans="1:4" x14ac:dyDescent="0.3">
      <c r="A95" s="14">
        <v>50</v>
      </c>
      <c r="B95" s="5">
        <v>8</v>
      </c>
      <c r="C95" s="5"/>
      <c r="D95" s="5">
        <v>8</v>
      </c>
    </row>
    <row r="96" spans="1:4" x14ac:dyDescent="0.3">
      <c r="A96" s="14">
        <v>51</v>
      </c>
      <c r="B96" s="5">
        <v>12</v>
      </c>
      <c r="C96" s="5"/>
      <c r="D96" s="5">
        <v>12</v>
      </c>
    </row>
    <row r="97" spans="1:4" x14ac:dyDescent="0.3">
      <c r="A97" s="14">
        <v>52</v>
      </c>
      <c r="B97" s="5">
        <v>11</v>
      </c>
      <c r="C97" s="5"/>
      <c r="D97" s="5">
        <v>11</v>
      </c>
    </row>
    <row r="98" spans="1:4" x14ac:dyDescent="0.3">
      <c r="A98" s="14">
        <v>53</v>
      </c>
      <c r="B98" s="5">
        <v>10</v>
      </c>
      <c r="C98" s="5"/>
      <c r="D98" s="5">
        <v>10</v>
      </c>
    </row>
    <row r="99" spans="1:4" x14ac:dyDescent="0.3">
      <c r="A99" s="14">
        <v>54</v>
      </c>
      <c r="B99" s="5">
        <v>17</v>
      </c>
      <c r="C99" s="5"/>
      <c r="D99" s="5">
        <v>17</v>
      </c>
    </row>
    <row r="100" spans="1:4" x14ac:dyDescent="0.3">
      <c r="A100" s="9" t="s">
        <v>52</v>
      </c>
      <c r="B100" s="5">
        <v>62</v>
      </c>
      <c r="C100" s="5"/>
      <c r="D100" s="5">
        <v>62</v>
      </c>
    </row>
    <row r="101" spans="1:4" x14ac:dyDescent="0.3">
      <c r="A101" s="14">
        <v>55</v>
      </c>
      <c r="B101" s="5">
        <v>8</v>
      </c>
      <c r="C101" s="5"/>
      <c r="D101" s="5">
        <v>8</v>
      </c>
    </row>
    <row r="102" spans="1:4" x14ac:dyDescent="0.3">
      <c r="A102" s="14">
        <v>56</v>
      </c>
      <c r="B102" s="5">
        <v>14</v>
      </c>
      <c r="C102" s="5"/>
      <c r="D102" s="5">
        <v>14</v>
      </c>
    </row>
    <row r="103" spans="1:4" x14ac:dyDescent="0.3">
      <c r="A103" s="14">
        <v>57</v>
      </c>
      <c r="B103" s="5">
        <v>5</v>
      </c>
      <c r="C103" s="5"/>
      <c r="D103" s="5">
        <v>5</v>
      </c>
    </row>
    <row r="104" spans="1:4" x14ac:dyDescent="0.3">
      <c r="A104" s="14">
        <v>58</v>
      </c>
      <c r="B104" s="5">
        <v>12</v>
      </c>
      <c r="C104" s="5"/>
      <c r="D104" s="5">
        <v>12</v>
      </c>
    </row>
    <row r="105" spans="1:4" x14ac:dyDescent="0.3">
      <c r="A105" s="14">
        <v>59</v>
      </c>
      <c r="B105" s="5">
        <v>9</v>
      </c>
      <c r="C105" s="5"/>
      <c r="D105" s="5">
        <v>9</v>
      </c>
    </row>
    <row r="106" spans="1:4" x14ac:dyDescent="0.3">
      <c r="A106" s="14">
        <v>60</v>
      </c>
      <c r="B106" s="5">
        <v>14</v>
      </c>
      <c r="C106" s="5"/>
      <c r="D106" s="5">
        <v>14</v>
      </c>
    </row>
    <row r="107" spans="1:4" x14ac:dyDescent="0.3">
      <c r="A107" s="9" t="s">
        <v>45</v>
      </c>
      <c r="B107" s="5">
        <v>403</v>
      </c>
      <c r="C107" s="5">
        <v>97</v>
      </c>
      <c r="D107" s="5">
        <v>500</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F2602B-D0DC-4F5C-9213-D3BC3FF37FE9}">
  <dimension ref="A1:J3"/>
  <sheetViews>
    <sheetView showGridLines="0" tabSelected="1" workbookViewId="0">
      <selection activeCell="O11" sqref="O11"/>
    </sheetView>
  </sheetViews>
  <sheetFormatPr defaultRowHeight="14.4" x14ac:dyDescent="0.3"/>
  <sheetData>
    <row r="1" spans="1:10" x14ac:dyDescent="0.3">
      <c r="A1" s="15" t="s">
        <v>53</v>
      </c>
      <c r="B1" s="16"/>
      <c r="C1" s="16"/>
      <c r="D1" s="16"/>
      <c r="E1" s="16"/>
      <c r="F1" s="16"/>
      <c r="G1" s="16"/>
      <c r="H1" s="16"/>
      <c r="I1" s="16"/>
      <c r="J1" s="16"/>
    </row>
    <row r="2" spans="1:10" x14ac:dyDescent="0.3">
      <c r="A2" s="16"/>
      <c r="B2" s="16"/>
      <c r="C2" s="16"/>
      <c r="D2" s="16"/>
      <c r="E2" s="16"/>
      <c r="F2" s="16"/>
      <c r="G2" s="16"/>
      <c r="H2" s="16"/>
      <c r="I2" s="16"/>
      <c r="J2" s="16"/>
    </row>
    <row r="3" spans="1:10" x14ac:dyDescent="0.3">
      <c r="A3" s="16"/>
      <c r="B3" s="16"/>
      <c r="C3" s="16"/>
      <c r="D3" s="16"/>
      <c r="E3" s="16"/>
      <c r="F3" s="16"/>
      <c r="G3" s="16"/>
      <c r="H3" s="16"/>
      <c r="I3" s="16"/>
      <c r="J3" s="16"/>
    </row>
  </sheetData>
  <mergeCells count="1">
    <mergeCell ref="A1:J3"/>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Bike_Purchase_Data</vt:lpstr>
      <vt:lpstr>Data</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Suresh Gopal Singh</cp:lastModifiedBy>
  <dcterms:created xsi:type="dcterms:W3CDTF">2026-01-01T17:19:49Z</dcterms:created>
  <dcterms:modified xsi:type="dcterms:W3CDTF">2026-01-05T17:20:41Z</dcterms:modified>
</cp:coreProperties>
</file>